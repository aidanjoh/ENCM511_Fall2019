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filterPrivacy="1" codeName="ThisWorkbook" autoCompressPictures="0" defaultThemeVersion="124226"/>
  <xr:revisionPtr revIDLastSave="174" documentId="11_8B9381A8684AC173792ECD7E681CC50679D00969" xr6:coauthVersionLast="41" xr6:coauthVersionMax="41" xr10:uidLastSave="{77962C42-C6EC-443B-B92E-840DE05014A7}"/>
  <workbookProtection workbookAlgorithmName="SHA-512" workbookHashValue="5tfmCc/fxEJuvSUSCkG5+a0zdJadtSOpRDrID9ZIr4d6d/mnQyNEpsF2JS9VE3ZyB1VAFfd7eKf5PV/eNn1G6A==" workbookSaltValue="+Udb86NWNcgc3/wbCshRcg==" workbookSpinCount="100000" lockStructure="1"/>
  <bookViews>
    <workbookView xWindow="-120" yWindow="-120" windowWidth="29040" windowHeight="15840" tabRatio="772" activeTab="4" xr2:uid="{00000000-000D-0000-FFFF-FFFF00000000}"/>
  </bookViews>
  <sheets>
    <sheet name="CREDITS" sheetId="13" r:id="rId1"/>
    <sheet name="EMA StartHere" sheetId="3" r:id="rId2"/>
    <sheet name="Prediction" sheetId="4" r:id="rId3"/>
    <sheet name="Planning" sheetId="5" r:id="rId4"/>
    <sheet name="Tracking" sheetId="6" r:id="rId5"/>
    <sheet name="Desired" sheetId="7" r:id="rId6"/>
    <sheet name="Submission" sheetId="9" r:id="rId7"/>
    <sheet name="Instructor Course Information" sheetId="1" r:id="rId8"/>
    <sheet name="Instructor Calculations" sheetId="12" r:id="rId9"/>
    <sheet name="Reordered Course Information" sheetId="11" r:id="rId10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7" l="1"/>
  <c r="G33" i="3"/>
  <c r="G4" i="5"/>
  <c r="B5" i="11"/>
  <c r="B6" i="12"/>
  <c r="Y6" i="12"/>
  <c r="Y54" i="12"/>
  <c r="I55" i="7"/>
  <c r="Y53" i="12"/>
  <c r="I54" i="7"/>
  <c r="Y52" i="12"/>
  <c r="I53" i="7"/>
  <c r="Y51" i="12"/>
  <c r="I52" i="7"/>
  <c r="Y50" i="12"/>
  <c r="I51" i="7"/>
  <c r="Y49" i="12"/>
  <c r="I50" i="7"/>
  <c r="Y48" i="12"/>
  <c r="I49" i="7"/>
  <c r="Y47" i="12"/>
  <c r="I48" i="7"/>
  <c r="Y46" i="12"/>
  <c r="I47" i="7"/>
  <c r="Y45" i="12"/>
  <c r="I46" i="7"/>
  <c r="Y44" i="12"/>
  <c r="I45" i="7"/>
  <c r="Y43" i="12"/>
  <c r="I44" i="7"/>
  <c r="Y42" i="12"/>
  <c r="I43" i="7"/>
  <c r="Y41" i="12"/>
  <c r="I42" i="7"/>
  <c r="Y40" i="12"/>
  <c r="I41" i="7"/>
  <c r="Y39" i="12"/>
  <c r="I40" i="7"/>
  <c r="Y38" i="12"/>
  <c r="I39" i="7"/>
  <c r="Y37" i="12"/>
  <c r="I38" i="7"/>
  <c r="Y36" i="12"/>
  <c r="I37" i="7"/>
  <c r="Y35" i="12"/>
  <c r="I36" i="7"/>
  <c r="Y34" i="12"/>
  <c r="I35" i="7"/>
  <c r="Y33" i="12"/>
  <c r="I34" i="7"/>
  <c r="Y32" i="12"/>
  <c r="I33" i="7"/>
  <c r="Y31" i="12"/>
  <c r="I32" i="7"/>
  <c r="Y30" i="12"/>
  <c r="I31" i="7"/>
  <c r="B28" i="11"/>
  <c r="B29" i="12"/>
  <c r="Y29" i="12"/>
  <c r="I30" i="7"/>
  <c r="B27" i="11"/>
  <c r="B28" i="12"/>
  <c r="Y28" i="12"/>
  <c r="I29" i="7"/>
  <c r="B26" i="11"/>
  <c r="B27" i="12"/>
  <c r="Y27" i="12"/>
  <c r="I28" i="7"/>
  <c r="B25" i="11"/>
  <c r="B26" i="12"/>
  <c r="Y26" i="12"/>
  <c r="I27" i="7"/>
  <c r="B24" i="11"/>
  <c r="B25" i="12"/>
  <c r="Y25" i="12"/>
  <c r="I26" i="7"/>
  <c r="B23" i="11"/>
  <c r="B24" i="12"/>
  <c r="Y24" i="12"/>
  <c r="I25" i="7"/>
  <c r="B22" i="11"/>
  <c r="B23" i="12"/>
  <c r="Y23" i="12"/>
  <c r="I24" i="7"/>
  <c r="B21" i="11"/>
  <c r="B22" i="12"/>
  <c r="Y22" i="12"/>
  <c r="I23" i="7"/>
  <c r="B20" i="11"/>
  <c r="B21" i="12"/>
  <c r="Y21" i="12"/>
  <c r="I22" i="7"/>
  <c r="B19" i="11"/>
  <c r="B20" i="12"/>
  <c r="Y20" i="12"/>
  <c r="I21" i="7"/>
  <c r="B18" i="11"/>
  <c r="B19" i="12"/>
  <c r="Y19" i="12"/>
  <c r="I20" i="7"/>
  <c r="B17" i="11"/>
  <c r="B18" i="12"/>
  <c r="Y18" i="12"/>
  <c r="I19" i="7"/>
  <c r="B16" i="11"/>
  <c r="B17" i="12"/>
  <c r="Y17" i="12"/>
  <c r="I18" i="7"/>
  <c r="B15" i="11"/>
  <c r="B16" i="12"/>
  <c r="Y16" i="12"/>
  <c r="I17" i="7"/>
  <c r="B14" i="11"/>
  <c r="B15" i="12"/>
  <c r="Y15" i="12"/>
  <c r="I16" i="7"/>
  <c r="B13" i="11"/>
  <c r="B14" i="12"/>
  <c r="Y14" i="12"/>
  <c r="I15" i="7"/>
  <c r="B12" i="11"/>
  <c r="B13" i="12"/>
  <c r="Y13" i="12"/>
  <c r="I14" i="7"/>
  <c r="B11" i="11"/>
  <c r="B12" i="12"/>
  <c r="Y12" i="12"/>
  <c r="I13" i="7"/>
  <c r="B10" i="11"/>
  <c r="B11" i="12"/>
  <c r="Y11" i="12"/>
  <c r="I12" i="7"/>
  <c r="B9" i="11"/>
  <c r="B10" i="12"/>
  <c r="Y10" i="12"/>
  <c r="I11" i="7"/>
  <c r="B8" i="11"/>
  <c r="B9" i="12"/>
  <c r="Y9" i="12"/>
  <c r="I10" i="7"/>
  <c r="B7" i="11"/>
  <c r="B8" i="12"/>
  <c r="Y8" i="12"/>
  <c r="I9" i="7"/>
  <c r="B6" i="11"/>
  <c r="B7" i="12"/>
  <c r="Y7" i="12"/>
  <c r="I8" i="7"/>
  <c r="I7" i="7"/>
  <c r="B4" i="11"/>
  <c r="B5" i="12"/>
  <c r="Y5" i="12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T10" i="1"/>
  <c r="F51" i="1"/>
  <c r="F53" i="11"/>
  <c r="F50" i="1"/>
  <c r="F52" i="11"/>
  <c r="F49" i="1"/>
  <c r="F51" i="11"/>
  <c r="F48" i="1"/>
  <c r="F50" i="11"/>
  <c r="F47" i="1"/>
  <c r="F49" i="11"/>
  <c r="F46" i="1"/>
  <c r="F48" i="11"/>
  <c r="T9" i="1"/>
  <c r="F45" i="1"/>
  <c r="F47" i="11"/>
  <c r="F44" i="1"/>
  <c r="F46" i="11"/>
  <c r="F43" i="1"/>
  <c r="F45" i="11"/>
  <c r="F42" i="1"/>
  <c r="F44" i="11"/>
  <c r="F41" i="1"/>
  <c r="F43" i="11"/>
  <c r="F40" i="1"/>
  <c r="F42" i="11"/>
  <c r="F39" i="1"/>
  <c r="F41" i="11"/>
  <c r="F38" i="1"/>
  <c r="F40" i="11"/>
  <c r="T4" i="1"/>
  <c r="F27" i="1"/>
  <c r="F39" i="11"/>
  <c r="F25" i="1"/>
  <c r="F38" i="11"/>
  <c r="F21" i="1"/>
  <c r="F37" i="11"/>
  <c r="T7" i="1"/>
  <c r="F20" i="1"/>
  <c r="F36" i="11"/>
  <c r="F17" i="1"/>
  <c r="F35" i="11"/>
  <c r="T6" i="1"/>
  <c r="F16" i="1"/>
  <c r="F34" i="11"/>
  <c r="F13" i="1"/>
  <c r="F33" i="11"/>
  <c r="F12" i="1"/>
  <c r="F32" i="11"/>
  <c r="F8" i="1"/>
  <c r="F31" i="11"/>
  <c r="F6" i="1"/>
  <c r="F30" i="11"/>
  <c r="F4" i="1"/>
  <c r="F29" i="11"/>
  <c r="F23" i="1"/>
  <c r="F28" i="11"/>
  <c r="F29" i="12"/>
  <c r="E28" i="11"/>
  <c r="E29" i="12"/>
  <c r="D28" i="11"/>
  <c r="D29" i="12"/>
  <c r="C28" i="11"/>
  <c r="C29" i="12"/>
  <c r="A28" i="11"/>
  <c r="A29" i="12"/>
  <c r="T8" i="1"/>
  <c r="F22" i="1"/>
  <c r="F27" i="11"/>
  <c r="F28" i="12"/>
  <c r="E27" i="11"/>
  <c r="E28" i="12"/>
  <c r="D27" i="11"/>
  <c r="D28" i="12"/>
  <c r="C27" i="11"/>
  <c r="C28" i="12"/>
  <c r="A27" i="11"/>
  <c r="A28" i="12"/>
  <c r="F9" i="1"/>
  <c r="F26" i="11"/>
  <c r="F27" i="12"/>
  <c r="E26" i="11"/>
  <c r="E27" i="12"/>
  <c r="D26" i="11"/>
  <c r="D27" i="12"/>
  <c r="C26" i="11"/>
  <c r="C27" i="12"/>
  <c r="A26" i="11"/>
  <c r="A27" i="12"/>
  <c r="F33" i="1"/>
  <c r="F25" i="11"/>
  <c r="F26" i="12"/>
  <c r="E25" i="11"/>
  <c r="E26" i="12"/>
  <c r="D25" i="11"/>
  <c r="D26" i="12"/>
  <c r="C25" i="11"/>
  <c r="C26" i="12"/>
  <c r="A25" i="11"/>
  <c r="A26" i="12"/>
  <c r="F32" i="1"/>
  <c r="F24" i="11"/>
  <c r="F25" i="12"/>
  <c r="E24" i="11"/>
  <c r="E25" i="12"/>
  <c r="D24" i="11"/>
  <c r="D25" i="12"/>
  <c r="C24" i="11"/>
  <c r="C25" i="12"/>
  <c r="A24" i="11"/>
  <c r="A25" i="12"/>
  <c r="F15" i="1"/>
  <c r="F23" i="11"/>
  <c r="F24" i="12"/>
  <c r="E23" i="11"/>
  <c r="E24" i="12"/>
  <c r="D23" i="11"/>
  <c r="D24" i="12"/>
  <c r="C23" i="11"/>
  <c r="C24" i="12"/>
  <c r="A23" i="11"/>
  <c r="A24" i="12"/>
  <c r="F14" i="1"/>
  <c r="F22" i="11"/>
  <c r="F23" i="12"/>
  <c r="E22" i="11"/>
  <c r="E23" i="12"/>
  <c r="D22" i="11"/>
  <c r="D23" i="12"/>
  <c r="C22" i="11"/>
  <c r="C23" i="12"/>
  <c r="A22" i="11"/>
  <c r="A23" i="12"/>
  <c r="F30" i="1"/>
  <c r="F21" i="11"/>
  <c r="F22" i="12"/>
  <c r="E21" i="11"/>
  <c r="E22" i="12"/>
  <c r="D21" i="11"/>
  <c r="D22" i="12"/>
  <c r="C21" i="11"/>
  <c r="C22" i="12"/>
  <c r="A21" i="11"/>
  <c r="A22" i="12"/>
  <c r="F5" i="1"/>
  <c r="F20" i="11"/>
  <c r="F21" i="12"/>
  <c r="E20" i="11"/>
  <c r="E21" i="12"/>
  <c r="D20" i="11"/>
  <c r="D21" i="12"/>
  <c r="C20" i="11"/>
  <c r="C21" i="12"/>
  <c r="A20" i="11"/>
  <c r="A21" i="12"/>
  <c r="F7" i="1"/>
  <c r="F19" i="11"/>
  <c r="F20" i="12"/>
  <c r="E19" i="11"/>
  <c r="E20" i="12"/>
  <c r="D19" i="11"/>
  <c r="D20" i="12"/>
  <c r="C19" i="11"/>
  <c r="C20" i="12"/>
  <c r="A19" i="11"/>
  <c r="A20" i="12"/>
  <c r="F19" i="1"/>
  <c r="F18" i="11"/>
  <c r="F19" i="12"/>
  <c r="E18" i="11"/>
  <c r="E19" i="12"/>
  <c r="D18" i="11"/>
  <c r="D19" i="12"/>
  <c r="C18" i="11"/>
  <c r="C19" i="12"/>
  <c r="A18" i="11"/>
  <c r="A19" i="12"/>
  <c r="F18" i="1"/>
  <c r="F17" i="11"/>
  <c r="F18" i="12"/>
  <c r="E17" i="11"/>
  <c r="E18" i="12"/>
  <c r="D17" i="11"/>
  <c r="D18" i="12"/>
  <c r="C17" i="11"/>
  <c r="C18" i="12"/>
  <c r="A17" i="11"/>
  <c r="A18" i="12"/>
  <c r="F37" i="1"/>
  <c r="F16" i="11"/>
  <c r="F17" i="12"/>
  <c r="E16" i="11"/>
  <c r="E17" i="12"/>
  <c r="D16" i="11"/>
  <c r="D17" i="12"/>
  <c r="C16" i="11"/>
  <c r="C17" i="12"/>
  <c r="A16" i="11"/>
  <c r="A17" i="12"/>
  <c r="F29" i="1"/>
  <c r="F15" i="11"/>
  <c r="F16" i="12"/>
  <c r="E15" i="11"/>
  <c r="E16" i="12"/>
  <c r="D15" i="11"/>
  <c r="D16" i="12"/>
  <c r="C15" i="11"/>
  <c r="C16" i="12"/>
  <c r="A15" i="11"/>
  <c r="A16" i="12"/>
  <c r="F28" i="1"/>
  <c r="F14" i="11"/>
  <c r="F15" i="12"/>
  <c r="E14" i="11"/>
  <c r="E15" i="12"/>
  <c r="D14" i="11"/>
  <c r="D15" i="12"/>
  <c r="C14" i="11"/>
  <c r="C15" i="12"/>
  <c r="A14" i="11"/>
  <c r="A15" i="12"/>
  <c r="F36" i="1"/>
  <c r="F13" i="11"/>
  <c r="F14" i="12"/>
  <c r="E13" i="11"/>
  <c r="E14" i="12"/>
  <c r="D13" i="11"/>
  <c r="D14" i="12"/>
  <c r="C13" i="11"/>
  <c r="C14" i="12"/>
  <c r="A13" i="11"/>
  <c r="A14" i="12"/>
  <c r="F35" i="1"/>
  <c r="F12" i="11"/>
  <c r="F13" i="12"/>
  <c r="E12" i="11"/>
  <c r="E13" i="12"/>
  <c r="D12" i="11"/>
  <c r="D13" i="12"/>
  <c r="C12" i="11"/>
  <c r="C13" i="12"/>
  <c r="A12" i="11"/>
  <c r="A13" i="12"/>
  <c r="T5" i="1"/>
  <c r="F34" i="1"/>
  <c r="F11" i="11"/>
  <c r="F12" i="12"/>
  <c r="E11" i="11"/>
  <c r="E12" i="12"/>
  <c r="D11" i="11"/>
  <c r="D12" i="12"/>
  <c r="C11" i="11"/>
  <c r="C12" i="12"/>
  <c r="A11" i="11"/>
  <c r="A12" i="12"/>
  <c r="F26" i="1"/>
  <c r="F10" i="11"/>
  <c r="F11" i="12"/>
  <c r="E10" i="11"/>
  <c r="E11" i="12"/>
  <c r="D10" i="11"/>
  <c r="D11" i="12"/>
  <c r="C10" i="11"/>
  <c r="C11" i="12"/>
  <c r="A10" i="11"/>
  <c r="A11" i="12"/>
  <c r="F3" i="1"/>
  <c r="F9" i="11"/>
  <c r="F10" i="12"/>
  <c r="E9" i="11"/>
  <c r="E10" i="12"/>
  <c r="D9" i="11"/>
  <c r="D10" i="12"/>
  <c r="C9" i="11"/>
  <c r="C10" i="12"/>
  <c r="A9" i="11"/>
  <c r="A10" i="12"/>
  <c r="F11" i="1"/>
  <c r="F8" i="11"/>
  <c r="F9" i="12"/>
  <c r="E8" i="11"/>
  <c r="E9" i="12"/>
  <c r="D8" i="11"/>
  <c r="D9" i="12"/>
  <c r="C8" i="11"/>
  <c r="C9" i="12"/>
  <c r="A8" i="11"/>
  <c r="A9" i="12"/>
  <c r="F10" i="1"/>
  <c r="F7" i="11"/>
  <c r="F8" i="12"/>
  <c r="E7" i="11"/>
  <c r="E8" i="12"/>
  <c r="D7" i="11"/>
  <c r="D8" i="12"/>
  <c r="C7" i="11"/>
  <c r="C8" i="12"/>
  <c r="A7" i="11"/>
  <c r="A8" i="12"/>
  <c r="F24" i="1"/>
  <c r="F6" i="11"/>
  <c r="F7" i="12"/>
  <c r="E6" i="11"/>
  <c r="E7" i="12"/>
  <c r="D6" i="11"/>
  <c r="D7" i="12"/>
  <c r="C6" i="11"/>
  <c r="C7" i="12"/>
  <c r="A6" i="11"/>
  <c r="A7" i="12"/>
  <c r="F2" i="1"/>
  <c r="F5" i="11"/>
  <c r="F6" i="12"/>
  <c r="E5" i="11"/>
  <c r="E6" i="12"/>
  <c r="D5" i="11"/>
  <c r="D6" i="12"/>
  <c r="C5" i="11"/>
  <c r="C6" i="12"/>
  <c r="A5" i="11"/>
  <c r="A6" i="12"/>
  <c r="F31" i="1"/>
  <c r="F4" i="11"/>
  <c r="F5" i="12"/>
  <c r="E4" i="11"/>
  <c r="E5" i="12"/>
  <c r="D4" i="11"/>
  <c r="D5" i="12"/>
  <c r="C4" i="11"/>
  <c r="C5" i="12"/>
  <c r="A4" i="11"/>
  <c r="A5" i="12"/>
  <c r="F3" i="11"/>
  <c r="F4" i="12"/>
  <c r="E3" i="11"/>
  <c r="E4" i="12"/>
  <c r="D3" i="11"/>
  <c r="D4" i="12"/>
  <c r="C3" i="11"/>
  <c r="C4" i="12"/>
  <c r="B3" i="11"/>
  <c r="B4" i="12"/>
  <c r="A3" i="11"/>
  <c r="A4" i="12"/>
  <c r="E53" i="11"/>
  <c r="D53" i="11"/>
  <c r="C53" i="11"/>
  <c r="B53" i="11"/>
  <c r="A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E52" i="11"/>
  <c r="D52" i="11"/>
  <c r="C52" i="11"/>
  <c r="A52" i="11"/>
  <c r="E51" i="11"/>
  <c r="D51" i="11"/>
  <c r="C51" i="11"/>
  <c r="A51" i="11"/>
  <c r="E50" i="11"/>
  <c r="D50" i="11"/>
  <c r="C50" i="11"/>
  <c r="A50" i="11"/>
  <c r="E49" i="11"/>
  <c r="D49" i="11"/>
  <c r="C49" i="11"/>
  <c r="A49" i="11"/>
  <c r="E48" i="11"/>
  <c r="D48" i="11"/>
  <c r="C48" i="11"/>
  <c r="A48" i="11"/>
  <c r="E47" i="11"/>
  <c r="D47" i="11"/>
  <c r="C47" i="11"/>
  <c r="A47" i="11"/>
  <c r="E46" i="11"/>
  <c r="D46" i="11"/>
  <c r="C46" i="11"/>
  <c r="A46" i="11"/>
  <c r="E45" i="11"/>
  <c r="D45" i="11"/>
  <c r="C45" i="11"/>
  <c r="A45" i="11"/>
  <c r="E44" i="11"/>
  <c r="D44" i="11"/>
  <c r="C44" i="11"/>
  <c r="A44" i="11"/>
  <c r="E43" i="11"/>
  <c r="D43" i="11"/>
  <c r="C43" i="11"/>
  <c r="A43" i="11"/>
  <c r="E42" i="11"/>
  <c r="D42" i="11"/>
  <c r="C42" i="11"/>
  <c r="A42" i="11"/>
  <c r="E41" i="11"/>
  <c r="D41" i="11"/>
  <c r="C41" i="11"/>
  <c r="A41" i="11"/>
  <c r="E40" i="11"/>
  <c r="D40" i="11"/>
  <c r="C40" i="11"/>
  <c r="A40" i="11"/>
  <c r="E39" i="11"/>
  <c r="D39" i="11"/>
  <c r="C39" i="11"/>
  <c r="A39" i="11"/>
  <c r="E38" i="11"/>
  <c r="D38" i="11"/>
  <c r="C38" i="11"/>
  <c r="A38" i="11"/>
  <c r="E37" i="11"/>
  <c r="D37" i="11"/>
  <c r="C37" i="11"/>
  <c r="A37" i="11"/>
  <c r="E36" i="11"/>
  <c r="D36" i="11"/>
  <c r="C36" i="11"/>
  <c r="A36" i="11"/>
  <c r="E35" i="11"/>
  <c r="D35" i="11"/>
  <c r="C35" i="11"/>
  <c r="A35" i="11"/>
  <c r="E34" i="11"/>
  <c r="D34" i="11"/>
  <c r="C34" i="11"/>
  <c r="A34" i="11"/>
  <c r="E33" i="11"/>
  <c r="D33" i="11"/>
  <c r="C33" i="11"/>
  <c r="A33" i="11"/>
  <c r="E32" i="11"/>
  <c r="D32" i="11"/>
  <c r="C32" i="11"/>
  <c r="A32" i="11"/>
  <c r="E31" i="11"/>
  <c r="D31" i="11"/>
  <c r="C31" i="11"/>
  <c r="A31" i="11"/>
  <c r="E30" i="11"/>
  <c r="D30" i="11"/>
  <c r="C30" i="11"/>
  <c r="A30" i="11"/>
  <c r="E29" i="11"/>
  <c r="D29" i="11"/>
  <c r="C29" i="11"/>
  <c r="A29" i="11"/>
  <c r="I28" i="6"/>
  <c r="V25" i="1"/>
  <c r="U19" i="1"/>
  <c r="U18" i="1"/>
  <c r="X54" i="12"/>
  <c r="J55" i="7"/>
  <c r="H55" i="7"/>
  <c r="M54" i="12"/>
  <c r="G55" i="7"/>
  <c r="X53" i="12"/>
  <c r="J54" i="7"/>
  <c r="H54" i="7"/>
  <c r="M53" i="12"/>
  <c r="G54" i="7"/>
  <c r="X52" i="12"/>
  <c r="J53" i="7"/>
  <c r="H53" i="7"/>
  <c r="M52" i="12"/>
  <c r="G53" i="7"/>
  <c r="X51" i="12"/>
  <c r="J52" i="7"/>
  <c r="H52" i="7"/>
  <c r="M51" i="12"/>
  <c r="G52" i="7"/>
  <c r="X50" i="12"/>
  <c r="J51" i="7"/>
  <c r="H51" i="7"/>
  <c r="M50" i="12"/>
  <c r="G51" i="7"/>
  <c r="X49" i="12"/>
  <c r="J50" i="7"/>
  <c r="H50" i="7"/>
  <c r="M49" i="12"/>
  <c r="G50" i="7"/>
  <c r="U48" i="12"/>
  <c r="T48" i="12"/>
  <c r="X48" i="12"/>
  <c r="J49" i="7"/>
  <c r="H49" i="7"/>
  <c r="M48" i="12"/>
  <c r="G49" i="7"/>
  <c r="X47" i="12"/>
  <c r="J48" i="7"/>
  <c r="H48" i="7"/>
  <c r="M47" i="12"/>
  <c r="G48" i="7"/>
  <c r="U46" i="12"/>
  <c r="T46" i="12"/>
  <c r="X46" i="12"/>
  <c r="J47" i="7"/>
  <c r="H47" i="7"/>
  <c r="M46" i="12"/>
  <c r="G47" i="7"/>
  <c r="X45" i="12"/>
  <c r="J46" i="7"/>
  <c r="H46" i="7"/>
  <c r="M45" i="12"/>
  <c r="G46" i="7"/>
  <c r="U44" i="12"/>
  <c r="T44" i="12"/>
  <c r="X44" i="12"/>
  <c r="J45" i="7"/>
  <c r="H45" i="7"/>
  <c r="M44" i="12"/>
  <c r="G45" i="7"/>
  <c r="X43" i="12"/>
  <c r="J44" i="7"/>
  <c r="H44" i="7"/>
  <c r="M43" i="12"/>
  <c r="G44" i="7"/>
  <c r="U42" i="12"/>
  <c r="T42" i="12"/>
  <c r="X42" i="12"/>
  <c r="J43" i="7"/>
  <c r="H43" i="7"/>
  <c r="M42" i="12"/>
  <c r="G43" i="7"/>
  <c r="X41" i="12"/>
  <c r="J42" i="7"/>
  <c r="H42" i="7"/>
  <c r="M41" i="12"/>
  <c r="G42" i="7"/>
  <c r="U40" i="12"/>
  <c r="T40" i="12"/>
  <c r="X40" i="12"/>
  <c r="J41" i="7"/>
  <c r="H41" i="7"/>
  <c r="M40" i="12"/>
  <c r="G41" i="7"/>
  <c r="U39" i="12"/>
  <c r="T39" i="12"/>
  <c r="X39" i="12"/>
  <c r="J40" i="7"/>
  <c r="H40" i="7"/>
  <c r="M39" i="12"/>
  <c r="G40" i="7"/>
  <c r="U38" i="12"/>
  <c r="T38" i="12"/>
  <c r="X38" i="12"/>
  <c r="J39" i="7"/>
  <c r="H39" i="7"/>
  <c r="M38" i="12"/>
  <c r="G39" i="7"/>
  <c r="U37" i="12"/>
  <c r="T37" i="12"/>
  <c r="X37" i="12"/>
  <c r="J38" i="7"/>
  <c r="H38" i="7"/>
  <c r="M37" i="12"/>
  <c r="G38" i="7"/>
  <c r="U36" i="12"/>
  <c r="T36" i="12"/>
  <c r="X36" i="12"/>
  <c r="J37" i="7"/>
  <c r="H37" i="7"/>
  <c r="M36" i="12"/>
  <c r="G37" i="7"/>
  <c r="U35" i="12"/>
  <c r="T35" i="12"/>
  <c r="X35" i="12"/>
  <c r="J36" i="7"/>
  <c r="H36" i="7"/>
  <c r="M35" i="12"/>
  <c r="G36" i="7"/>
  <c r="U34" i="12"/>
  <c r="T34" i="12"/>
  <c r="X34" i="12"/>
  <c r="J35" i="7"/>
  <c r="H35" i="7"/>
  <c r="M34" i="12"/>
  <c r="G35" i="7"/>
  <c r="U33" i="12"/>
  <c r="T33" i="12"/>
  <c r="X33" i="12"/>
  <c r="J34" i="7"/>
  <c r="H34" i="7"/>
  <c r="M33" i="12"/>
  <c r="G34" i="7"/>
  <c r="U32" i="12"/>
  <c r="T32" i="12"/>
  <c r="X32" i="12"/>
  <c r="J33" i="7"/>
  <c r="H33" i="7"/>
  <c r="M32" i="12"/>
  <c r="G33" i="7"/>
  <c r="U31" i="12"/>
  <c r="T31" i="12"/>
  <c r="X31" i="12"/>
  <c r="J32" i="7"/>
  <c r="H32" i="7"/>
  <c r="M31" i="12"/>
  <c r="G32" i="7"/>
  <c r="U30" i="12"/>
  <c r="T30" i="12"/>
  <c r="X30" i="12"/>
  <c r="J31" i="7"/>
  <c r="H31" i="7"/>
  <c r="M30" i="12"/>
  <c r="G31" i="7"/>
  <c r="U29" i="12"/>
  <c r="T29" i="12"/>
  <c r="X29" i="12"/>
  <c r="J30" i="7"/>
  <c r="H30" i="7"/>
  <c r="M29" i="12"/>
  <c r="G30" i="7"/>
  <c r="U28" i="12"/>
  <c r="Q28" i="12"/>
  <c r="M28" i="12"/>
  <c r="L28" i="12"/>
  <c r="P28" i="12"/>
  <c r="T28" i="12"/>
  <c r="X28" i="12"/>
  <c r="J29" i="7"/>
  <c r="H29" i="7"/>
  <c r="G29" i="7"/>
  <c r="U27" i="12"/>
  <c r="Q27" i="12"/>
  <c r="M27" i="12"/>
  <c r="L27" i="12"/>
  <c r="P27" i="12"/>
  <c r="T27" i="12"/>
  <c r="X27" i="12"/>
  <c r="J28" i="7"/>
  <c r="H28" i="7"/>
  <c r="G28" i="7"/>
  <c r="U26" i="12"/>
  <c r="Q26" i="12"/>
  <c r="M26" i="12"/>
  <c r="L26" i="12"/>
  <c r="P26" i="12"/>
  <c r="T26" i="12"/>
  <c r="X26" i="12"/>
  <c r="J27" i="7"/>
  <c r="H27" i="7"/>
  <c r="G27" i="7"/>
  <c r="U25" i="12"/>
  <c r="Q25" i="12"/>
  <c r="M25" i="12"/>
  <c r="L25" i="12"/>
  <c r="P25" i="12"/>
  <c r="T25" i="12"/>
  <c r="X25" i="12"/>
  <c r="J26" i="7"/>
  <c r="H26" i="7"/>
  <c r="G26" i="7"/>
  <c r="U24" i="12"/>
  <c r="Q24" i="12"/>
  <c r="M24" i="12"/>
  <c r="L24" i="12"/>
  <c r="P24" i="12"/>
  <c r="T24" i="12"/>
  <c r="X24" i="12"/>
  <c r="J25" i="7"/>
  <c r="H25" i="7"/>
  <c r="G25" i="7"/>
  <c r="U23" i="12"/>
  <c r="Q23" i="12"/>
  <c r="M23" i="12"/>
  <c r="L23" i="12"/>
  <c r="P23" i="12"/>
  <c r="T23" i="12"/>
  <c r="X23" i="12"/>
  <c r="J24" i="7"/>
  <c r="H24" i="7"/>
  <c r="G24" i="7"/>
  <c r="U22" i="12"/>
  <c r="Q22" i="12"/>
  <c r="M22" i="12"/>
  <c r="L22" i="12"/>
  <c r="P22" i="12"/>
  <c r="T22" i="12"/>
  <c r="X22" i="12"/>
  <c r="J23" i="7"/>
  <c r="H23" i="7"/>
  <c r="G23" i="7"/>
  <c r="U21" i="12"/>
  <c r="Q21" i="12"/>
  <c r="M21" i="12"/>
  <c r="L21" i="12"/>
  <c r="P21" i="12"/>
  <c r="T21" i="12"/>
  <c r="X21" i="12"/>
  <c r="J22" i="7"/>
  <c r="H22" i="7"/>
  <c r="G22" i="7"/>
  <c r="U20" i="12"/>
  <c r="Q20" i="12"/>
  <c r="M20" i="12"/>
  <c r="L20" i="12"/>
  <c r="P20" i="12"/>
  <c r="T20" i="12"/>
  <c r="X20" i="12"/>
  <c r="J21" i="7"/>
  <c r="H21" i="7"/>
  <c r="G21" i="7"/>
  <c r="U19" i="12"/>
  <c r="L19" i="12"/>
  <c r="M19" i="12"/>
  <c r="P19" i="12"/>
  <c r="Q19" i="12"/>
  <c r="T19" i="12"/>
  <c r="X19" i="12"/>
  <c r="J20" i="7"/>
  <c r="H20" i="7"/>
  <c r="G20" i="7"/>
  <c r="U18" i="12"/>
  <c r="L18" i="12"/>
  <c r="M18" i="12"/>
  <c r="P18" i="12"/>
  <c r="Q18" i="12"/>
  <c r="T18" i="12"/>
  <c r="X18" i="12"/>
  <c r="J19" i="7"/>
  <c r="H19" i="7"/>
  <c r="G19" i="7"/>
  <c r="U17" i="12"/>
  <c r="L17" i="12"/>
  <c r="M17" i="12"/>
  <c r="P17" i="12"/>
  <c r="Q17" i="12"/>
  <c r="T17" i="12"/>
  <c r="X17" i="12"/>
  <c r="J18" i="7"/>
  <c r="H18" i="7"/>
  <c r="G18" i="7"/>
  <c r="U16" i="12"/>
  <c r="Q16" i="12"/>
  <c r="M16" i="12"/>
  <c r="L16" i="12"/>
  <c r="P16" i="12"/>
  <c r="T16" i="12"/>
  <c r="X16" i="12"/>
  <c r="J17" i="7"/>
  <c r="H17" i="7"/>
  <c r="G17" i="7"/>
  <c r="U15" i="12"/>
  <c r="L15" i="12"/>
  <c r="M15" i="12"/>
  <c r="P15" i="12"/>
  <c r="Q15" i="12"/>
  <c r="T15" i="12"/>
  <c r="X15" i="12"/>
  <c r="J16" i="7"/>
  <c r="H16" i="7"/>
  <c r="G16" i="7"/>
  <c r="U14" i="12"/>
  <c r="L14" i="12"/>
  <c r="M14" i="12"/>
  <c r="P14" i="12"/>
  <c r="Q14" i="12"/>
  <c r="T14" i="12"/>
  <c r="X14" i="12"/>
  <c r="J15" i="7"/>
  <c r="H15" i="7"/>
  <c r="G15" i="7"/>
  <c r="U13" i="12"/>
  <c r="L13" i="12"/>
  <c r="M13" i="12"/>
  <c r="P13" i="12"/>
  <c r="Q13" i="12"/>
  <c r="T13" i="12"/>
  <c r="X13" i="12"/>
  <c r="J14" i="7"/>
  <c r="H14" i="7"/>
  <c r="G14" i="7"/>
  <c r="U12" i="12"/>
  <c r="L12" i="12"/>
  <c r="M12" i="12"/>
  <c r="P12" i="12"/>
  <c r="Q12" i="12"/>
  <c r="T12" i="12"/>
  <c r="X12" i="12"/>
  <c r="J13" i="7"/>
  <c r="H13" i="7"/>
  <c r="G13" i="7"/>
  <c r="U11" i="12"/>
  <c r="L11" i="12"/>
  <c r="M11" i="12"/>
  <c r="P11" i="12"/>
  <c r="Q11" i="12"/>
  <c r="T11" i="12"/>
  <c r="X11" i="12"/>
  <c r="J12" i="7"/>
  <c r="H12" i="7"/>
  <c r="G12" i="7"/>
  <c r="U10" i="12"/>
  <c r="L10" i="12"/>
  <c r="M10" i="12"/>
  <c r="P10" i="12"/>
  <c r="Q10" i="12"/>
  <c r="T10" i="12"/>
  <c r="X10" i="12"/>
  <c r="J11" i="7"/>
  <c r="H11" i="7"/>
  <c r="G11" i="7"/>
  <c r="U9" i="12"/>
  <c r="L9" i="12"/>
  <c r="M9" i="12"/>
  <c r="P9" i="12"/>
  <c r="Q9" i="12"/>
  <c r="T9" i="12"/>
  <c r="X9" i="12"/>
  <c r="J10" i="7"/>
  <c r="H10" i="7"/>
  <c r="G10" i="7"/>
  <c r="U8" i="12"/>
  <c r="L8" i="12"/>
  <c r="M8" i="12"/>
  <c r="P8" i="12"/>
  <c r="Q8" i="12"/>
  <c r="T8" i="12"/>
  <c r="X8" i="12"/>
  <c r="J9" i="7"/>
  <c r="H9" i="7"/>
  <c r="G9" i="7"/>
  <c r="U7" i="12"/>
  <c r="L7" i="12"/>
  <c r="M7" i="12"/>
  <c r="P7" i="12"/>
  <c r="Q7" i="12"/>
  <c r="T7" i="12"/>
  <c r="X7" i="12"/>
  <c r="J8" i="7"/>
  <c r="H8" i="7"/>
  <c r="G8" i="7"/>
  <c r="U6" i="12"/>
  <c r="L6" i="12"/>
  <c r="M6" i="12"/>
  <c r="P6" i="12"/>
  <c r="Q6" i="12"/>
  <c r="T6" i="12"/>
  <c r="X6" i="12"/>
  <c r="J7" i="7"/>
  <c r="H7" i="7"/>
  <c r="G7" i="7"/>
  <c r="L5" i="12"/>
  <c r="M5" i="12"/>
  <c r="P5" i="12"/>
  <c r="Q5" i="12"/>
  <c r="T5" i="12"/>
  <c r="U5" i="12"/>
  <c r="X5" i="12"/>
  <c r="J6" i="7"/>
  <c r="H6" i="7"/>
  <c r="G6" i="7"/>
  <c r="T54" i="12"/>
  <c r="I53" i="6"/>
  <c r="T53" i="12"/>
  <c r="I52" i="6"/>
  <c r="T52" i="12"/>
  <c r="I51" i="6"/>
  <c r="T51" i="12"/>
  <c r="I50" i="6"/>
  <c r="T50" i="12"/>
  <c r="I49" i="6"/>
  <c r="T49" i="12"/>
  <c r="I48" i="6"/>
  <c r="I47" i="6"/>
  <c r="T47" i="12"/>
  <c r="I46" i="6"/>
  <c r="I45" i="6"/>
  <c r="T45" i="12"/>
  <c r="I44" i="6"/>
  <c r="I43" i="6"/>
  <c r="T43" i="12"/>
  <c r="I42" i="6"/>
  <c r="I41" i="6"/>
  <c r="T41" i="12"/>
  <c r="I40" i="6"/>
  <c r="I39" i="6"/>
  <c r="I38" i="6"/>
  <c r="I37" i="6"/>
  <c r="I36" i="6"/>
  <c r="I35" i="6"/>
  <c r="I34" i="6"/>
  <c r="I33" i="6"/>
  <c r="I32" i="6"/>
  <c r="I31" i="6"/>
  <c r="I30" i="6"/>
  <c r="I29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7" i="6"/>
  <c r="G6" i="6"/>
  <c r="G5" i="6"/>
  <c r="G4" i="6"/>
  <c r="G8" i="6"/>
  <c r="P54" i="12"/>
  <c r="H53" i="5"/>
  <c r="P53" i="12"/>
  <c r="H52" i="5"/>
  <c r="P52" i="12"/>
  <c r="H51" i="5"/>
  <c r="P51" i="12"/>
  <c r="H50" i="5"/>
  <c r="P50" i="12"/>
  <c r="H49" i="5"/>
  <c r="P49" i="12"/>
  <c r="H48" i="5"/>
  <c r="L48" i="12"/>
  <c r="P48" i="12"/>
  <c r="H47" i="5"/>
  <c r="P47" i="12"/>
  <c r="H46" i="5"/>
  <c r="L46" i="12"/>
  <c r="P46" i="12"/>
  <c r="H45" i="5"/>
  <c r="P45" i="12"/>
  <c r="H44" i="5"/>
  <c r="L44" i="12"/>
  <c r="P44" i="12"/>
  <c r="H43" i="5"/>
  <c r="P43" i="12"/>
  <c r="H42" i="5"/>
  <c r="L42" i="12"/>
  <c r="P42" i="12"/>
  <c r="H41" i="5"/>
  <c r="P41" i="12"/>
  <c r="H40" i="5"/>
  <c r="L40" i="12"/>
  <c r="P40" i="12"/>
  <c r="H39" i="5"/>
  <c r="L39" i="12"/>
  <c r="P39" i="12"/>
  <c r="H38" i="5"/>
  <c r="L38" i="12"/>
  <c r="P38" i="12"/>
  <c r="H37" i="5"/>
  <c r="L37" i="12"/>
  <c r="P37" i="12"/>
  <c r="H36" i="5"/>
  <c r="L36" i="12"/>
  <c r="P36" i="12"/>
  <c r="H35" i="5"/>
  <c r="L35" i="12"/>
  <c r="P35" i="12"/>
  <c r="H34" i="5"/>
  <c r="L34" i="12"/>
  <c r="P34" i="12"/>
  <c r="H33" i="5"/>
  <c r="L33" i="12"/>
  <c r="P33" i="12"/>
  <c r="H32" i="5"/>
  <c r="L32" i="12"/>
  <c r="P32" i="12"/>
  <c r="H31" i="5"/>
  <c r="L31" i="12"/>
  <c r="P31" i="12"/>
  <c r="H30" i="5"/>
  <c r="L30" i="12"/>
  <c r="P30" i="12"/>
  <c r="H29" i="5"/>
  <c r="L29" i="12"/>
  <c r="P29" i="12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L54" i="12"/>
  <c r="G53" i="4"/>
  <c r="L53" i="12"/>
  <c r="G52" i="4"/>
  <c r="L52" i="12"/>
  <c r="G51" i="4"/>
  <c r="L51" i="12"/>
  <c r="G50" i="4"/>
  <c r="L50" i="12"/>
  <c r="G49" i="4"/>
  <c r="L49" i="12"/>
  <c r="G48" i="4"/>
  <c r="G47" i="4"/>
  <c r="L47" i="12"/>
  <c r="G46" i="4"/>
  <c r="G45" i="4"/>
  <c r="L45" i="12"/>
  <c r="G44" i="4"/>
  <c r="G43" i="4"/>
  <c r="L43" i="12"/>
  <c r="G42" i="4"/>
  <c r="G41" i="4"/>
  <c r="L41" i="12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V26" i="9"/>
  <c r="I50" i="9"/>
  <c r="V39" i="9"/>
  <c r="I39" i="9"/>
  <c r="V15" i="9"/>
  <c r="I26" i="9"/>
  <c r="V4" i="9"/>
  <c r="I15" i="9"/>
  <c r="N3" i="9"/>
  <c r="A1" i="7"/>
  <c r="A1" i="6"/>
  <c r="A1" i="5"/>
  <c r="A1" i="4"/>
  <c r="A49" i="9"/>
  <c r="N38" i="9"/>
  <c r="A38" i="9"/>
  <c r="N25" i="9"/>
  <c r="A25" i="9"/>
  <c r="N14" i="9"/>
  <c r="A14" i="9"/>
  <c r="D2" i="9"/>
  <c r="E1" i="3"/>
  <c r="S2" i="9"/>
  <c r="F13" i="9"/>
  <c r="S13" i="9"/>
  <c r="F48" i="9"/>
  <c r="S37" i="9"/>
  <c r="F37" i="9"/>
  <c r="S24" i="9"/>
  <c r="F24" i="9"/>
  <c r="G4" i="9"/>
  <c r="G5" i="9"/>
  <c r="A5" i="9"/>
  <c r="J2" i="9"/>
  <c r="N32" i="1"/>
  <c r="I35" i="1"/>
  <c r="J32" i="1"/>
  <c r="H28" i="12"/>
  <c r="H25" i="12"/>
  <c r="H23" i="12"/>
  <c r="A4" i="9"/>
  <c r="H26" i="12"/>
  <c r="H22" i="12"/>
  <c r="H27" i="12"/>
  <c r="B19" i="5"/>
  <c r="H20" i="12"/>
  <c r="H21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7" i="12"/>
  <c r="H49" i="12"/>
  <c r="H51" i="12"/>
  <c r="H46" i="12"/>
  <c r="H48" i="12"/>
  <c r="H50" i="12"/>
  <c r="H52" i="12"/>
  <c r="H53" i="12"/>
  <c r="H54" i="12"/>
  <c r="T3" i="1"/>
  <c r="F10" i="3"/>
  <c r="Z29" i="12"/>
  <c r="Z31" i="12"/>
  <c r="Z33" i="12"/>
  <c r="Z35" i="12"/>
  <c r="Z37" i="12"/>
  <c r="Z39" i="12"/>
  <c r="Z41" i="12"/>
  <c r="Z43" i="12"/>
  <c r="Z45" i="12"/>
  <c r="Z47" i="12"/>
  <c r="Z49" i="12"/>
  <c r="Z51" i="12"/>
  <c r="Z53" i="12"/>
  <c r="Z54" i="12"/>
  <c r="Z30" i="12"/>
  <c r="Z32" i="12"/>
  <c r="Z34" i="12"/>
  <c r="Z36" i="12"/>
  <c r="Z38" i="12"/>
  <c r="Z40" i="12"/>
  <c r="Z42" i="12"/>
  <c r="Z44" i="12"/>
  <c r="Z46" i="12"/>
  <c r="Z48" i="12"/>
  <c r="Z50" i="12"/>
  <c r="Z52" i="12"/>
  <c r="B19" i="4"/>
  <c r="C12" i="5"/>
  <c r="D53" i="5"/>
  <c r="E51" i="4"/>
  <c r="E50" i="6"/>
  <c r="C50" i="6"/>
  <c r="E51" i="7"/>
  <c r="D49" i="4"/>
  <c r="C48" i="4"/>
  <c r="A47" i="5"/>
  <c r="C46" i="5"/>
  <c r="D47" i="7"/>
  <c r="A44" i="4"/>
  <c r="E41" i="4"/>
  <c r="A41" i="4"/>
  <c r="C40" i="6"/>
  <c r="E41" i="7"/>
  <c r="C40" i="7"/>
  <c r="D39" i="7"/>
  <c r="A36" i="5"/>
  <c r="E35" i="5"/>
  <c r="A33" i="5"/>
  <c r="E33" i="7"/>
  <c r="A33" i="7"/>
  <c r="E28" i="4"/>
  <c r="A28" i="4"/>
  <c r="E26" i="6"/>
  <c r="C25" i="6"/>
  <c r="D25" i="7"/>
  <c r="D23" i="7"/>
  <c r="D22" i="7"/>
  <c r="B20" i="6"/>
  <c r="A18" i="4"/>
  <c r="D17" i="5"/>
  <c r="B15" i="6"/>
  <c r="A14" i="5"/>
  <c r="E8" i="4"/>
  <c r="C9" i="7"/>
  <c r="C4" i="5"/>
  <c r="A51" i="6"/>
  <c r="E47" i="4"/>
  <c r="A45" i="4"/>
  <c r="C42" i="5"/>
  <c r="C36" i="6"/>
  <c r="D37" i="7"/>
  <c r="A37" i="7"/>
  <c r="E34" i="5"/>
  <c r="C5" i="6"/>
  <c r="A29" i="4"/>
  <c r="E53" i="6"/>
  <c r="A46" i="4"/>
  <c r="D41" i="5"/>
  <c r="C43" i="7"/>
  <c r="D31" i="5"/>
  <c r="C49" i="6"/>
  <c r="D13" i="5"/>
  <c r="D44" i="4"/>
  <c r="D40" i="6"/>
  <c r="H5" i="7"/>
  <c r="D20" i="6"/>
  <c r="R34" i="12"/>
  <c r="U53" i="12"/>
  <c r="R53" i="12"/>
  <c r="U45" i="12"/>
  <c r="R45" i="12"/>
  <c r="R33" i="12"/>
  <c r="R52" i="12"/>
  <c r="R48" i="12"/>
  <c r="R44" i="12"/>
  <c r="R40" i="12"/>
  <c r="R36" i="12"/>
  <c r="R32" i="12"/>
  <c r="U54" i="12"/>
  <c r="R54" i="12"/>
  <c r="U51" i="12"/>
  <c r="R51" i="12"/>
  <c r="U47" i="12"/>
  <c r="R47" i="12"/>
  <c r="R43" i="12"/>
  <c r="R39" i="12"/>
  <c r="R35" i="12"/>
  <c r="R31" i="12"/>
  <c r="U50" i="12"/>
  <c r="R50" i="12"/>
  <c r="R42" i="12"/>
  <c r="R38" i="12"/>
  <c r="R30" i="12"/>
  <c r="U49" i="12"/>
  <c r="R49" i="12"/>
  <c r="R41" i="12"/>
  <c r="U41" i="12"/>
  <c r="R37" i="12"/>
  <c r="R29" i="12"/>
  <c r="U52" i="12"/>
  <c r="R46" i="12"/>
  <c r="U43" i="12"/>
  <c r="E5" i="4"/>
  <c r="E31" i="7"/>
  <c r="E37" i="5"/>
  <c r="D42" i="5"/>
  <c r="E47" i="7"/>
  <c r="D50" i="4"/>
  <c r="A52" i="5"/>
  <c r="B31" i="6"/>
  <c r="E44" i="5"/>
  <c r="C21" i="7"/>
  <c r="C35" i="4"/>
  <c r="E40" i="7"/>
  <c r="D52" i="6"/>
  <c r="D52" i="4"/>
  <c r="D52" i="5"/>
  <c r="E16" i="5"/>
  <c r="E13" i="7"/>
  <c r="B17" i="4"/>
  <c r="C25" i="7"/>
  <c r="A7" i="4"/>
  <c r="C28" i="7"/>
  <c r="A11" i="7"/>
  <c r="C28" i="6"/>
  <c r="E13" i="4"/>
  <c r="E21" i="5"/>
  <c r="E9" i="7"/>
  <c r="A12" i="5"/>
  <c r="A27" i="6"/>
  <c r="C30" i="4"/>
  <c r="B46" i="6"/>
  <c r="B23" i="5"/>
  <c r="B38" i="4"/>
  <c r="B36" i="6"/>
  <c r="B44" i="4"/>
  <c r="B52" i="4"/>
  <c r="B32" i="4"/>
  <c r="B48" i="4"/>
  <c r="B40" i="4"/>
  <c r="C32" i="4"/>
  <c r="C34" i="7"/>
  <c r="B47" i="4"/>
  <c r="E48" i="5"/>
  <c r="C39" i="5"/>
  <c r="A22" i="5"/>
  <c r="B43" i="7"/>
  <c r="D25" i="5"/>
  <c r="C31" i="4"/>
  <c r="E27" i="4"/>
  <c r="B49" i="6"/>
  <c r="D45" i="7"/>
  <c r="E53" i="4"/>
  <c r="B21" i="5"/>
  <c r="B29" i="5"/>
  <c r="B25" i="6"/>
  <c r="C36" i="7"/>
  <c r="E43" i="5"/>
  <c r="A53" i="6"/>
  <c r="D54" i="7"/>
  <c r="E23" i="5"/>
  <c r="D16" i="4"/>
  <c r="A37" i="4"/>
  <c r="B50" i="6"/>
  <c r="B26" i="4"/>
  <c r="D24" i="6"/>
  <c r="A43" i="4"/>
  <c r="A45" i="7"/>
  <c r="C31" i="5"/>
  <c r="A6" i="7"/>
  <c r="C29" i="6"/>
  <c r="C40" i="4"/>
  <c r="C48" i="5"/>
  <c r="E25" i="4"/>
  <c r="D26" i="4"/>
  <c r="B11" i="6"/>
  <c r="D26" i="7"/>
  <c r="B8" i="5"/>
  <c r="D21" i="7"/>
  <c r="D31" i="7"/>
  <c r="E10" i="4"/>
  <c r="D28" i="4"/>
  <c r="B22" i="6"/>
  <c r="A35" i="4"/>
  <c r="D30" i="5"/>
  <c r="B7" i="4"/>
  <c r="D8" i="5"/>
  <c r="C17" i="4"/>
  <c r="D29" i="7"/>
  <c r="E30" i="6"/>
  <c r="E50" i="4"/>
  <c r="C36" i="5"/>
  <c r="E38" i="6"/>
  <c r="C52" i="4"/>
  <c r="C54" i="7"/>
  <c r="A40" i="5"/>
  <c r="A40" i="4"/>
  <c r="A49" i="7"/>
  <c r="B21" i="7"/>
  <c r="B19" i="6"/>
  <c r="E35" i="7"/>
  <c r="E33" i="6"/>
  <c r="A39" i="6"/>
  <c r="A41" i="7"/>
  <c r="E29" i="6"/>
  <c r="E29" i="4"/>
  <c r="B49" i="7"/>
  <c r="D26" i="6"/>
  <c r="D34" i="5"/>
  <c r="B31" i="7"/>
  <c r="A16" i="7"/>
  <c r="A46" i="7"/>
  <c r="D42" i="6"/>
  <c r="C49" i="4"/>
  <c r="D4" i="6"/>
  <c r="C44" i="6"/>
  <c r="D49" i="7"/>
  <c r="D52" i="7"/>
  <c r="A6" i="4"/>
  <c r="D46" i="6"/>
  <c r="C37" i="5"/>
  <c r="E46" i="6"/>
  <c r="D32" i="7"/>
  <c r="D30" i="6"/>
  <c r="D40" i="7"/>
  <c r="D9" i="4"/>
  <c r="A24" i="4"/>
  <c r="A24" i="5"/>
  <c r="D34" i="7"/>
  <c r="D32" i="5"/>
  <c r="D32" i="4"/>
  <c r="B29" i="7"/>
  <c r="B27" i="5"/>
  <c r="B27" i="4"/>
  <c r="B27" i="6"/>
  <c r="B35" i="6"/>
  <c r="B37" i="7"/>
  <c r="B35" i="5"/>
  <c r="B35" i="4"/>
  <c r="B45" i="7"/>
  <c r="B43" i="4"/>
  <c r="B51" i="4"/>
  <c r="B51" i="5"/>
  <c r="C45" i="5"/>
  <c r="C45" i="6"/>
  <c r="D50" i="7"/>
  <c r="D48" i="5"/>
  <c r="D36" i="4"/>
  <c r="D38" i="7"/>
  <c r="D36" i="6"/>
  <c r="D36" i="5"/>
  <c r="C35" i="7"/>
  <c r="C33" i="6"/>
  <c r="C33" i="4"/>
  <c r="C55" i="7"/>
  <c r="C53" i="6"/>
  <c r="B39" i="5"/>
  <c r="B39" i="4"/>
  <c r="D40" i="4"/>
  <c r="E53" i="5"/>
  <c r="A38" i="7"/>
  <c r="D24" i="4"/>
  <c r="D41" i="4"/>
  <c r="D24" i="5"/>
  <c r="D40" i="5"/>
  <c r="A37" i="6"/>
  <c r="B47" i="6"/>
  <c r="B25" i="7"/>
  <c r="A46" i="5"/>
  <c r="C8" i="7"/>
  <c r="D14" i="7"/>
  <c r="A25" i="4"/>
  <c r="B6" i="5"/>
  <c r="B14" i="4"/>
  <c r="A39" i="5"/>
  <c r="B47" i="5"/>
  <c r="E28" i="7"/>
  <c r="D42" i="7"/>
  <c r="A19" i="6"/>
  <c r="C22" i="5"/>
  <c r="B16" i="5"/>
  <c r="B24" i="4"/>
  <c r="E55" i="7"/>
  <c r="A22" i="7"/>
  <c r="A13" i="5"/>
  <c r="C16" i="5"/>
  <c r="D24" i="7"/>
  <c r="D6" i="6"/>
  <c r="D27" i="4"/>
  <c r="B41" i="6"/>
  <c r="A47" i="7"/>
  <c r="A16" i="6"/>
  <c r="E31" i="5"/>
  <c r="A23" i="7"/>
  <c r="E22" i="4"/>
  <c r="B55" i="7"/>
  <c r="B53" i="4"/>
  <c r="B53" i="5"/>
  <c r="B53" i="6"/>
  <c r="A53" i="4"/>
  <c r="A55" i="7"/>
  <c r="B37" i="5"/>
  <c r="B37" i="4"/>
  <c r="B37" i="6"/>
  <c r="B45" i="5"/>
  <c r="B45" i="4"/>
  <c r="B45" i="6"/>
  <c r="B47" i="7"/>
  <c r="B33" i="6"/>
  <c r="B33" i="4"/>
  <c r="B35" i="7"/>
  <c r="B51" i="6"/>
  <c r="B31" i="4"/>
  <c r="B31" i="5"/>
  <c r="B53" i="7"/>
  <c r="B33" i="7"/>
  <c r="C21" i="5"/>
  <c r="C21" i="6"/>
  <c r="A34" i="7"/>
  <c r="A32" i="4"/>
  <c r="E42" i="6"/>
  <c r="E42" i="5"/>
  <c r="E42" i="4"/>
  <c r="D13" i="4"/>
  <c r="B26" i="6"/>
  <c r="E25" i="7"/>
  <c r="D30" i="7"/>
  <c r="B41" i="7"/>
  <c r="C52" i="7"/>
  <c r="A21" i="5"/>
  <c r="D53" i="7"/>
  <c r="D51" i="6"/>
  <c r="B49" i="4"/>
  <c r="B49" i="5"/>
  <c r="A19" i="4"/>
  <c r="A39" i="4"/>
  <c r="C20" i="4"/>
  <c r="C28" i="4"/>
  <c r="D38" i="4"/>
  <c r="D48" i="4"/>
  <c r="A31" i="5"/>
  <c r="C20" i="5"/>
  <c r="B43" i="5"/>
  <c r="B23" i="6"/>
  <c r="C26" i="6"/>
  <c r="A35" i="6"/>
  <c r="E41" i="6"/>
  <c r="E45" i="6"/>
  <c r="E49" i="6"/>
  <c r="A31" i="7"/>
  <c r="E52" i="7"/>
  <c r="A22" i="4"/>
  <c r="C26" i="5"/>
  <c r="A41" i="5"/>
  <c r="A23" i="4"/>
  <c r="D20" i="4"/>
  <c r="B29" i="4"/>
  <c r="D34" i="4"/>
  <c r="E38" i="4"/>
  <c r="C44" i="4"/>
  <c r="E49" i="4"/>
  <c r="B23" i="4"/>
  <c r="A35" i="5"/>
  <c r="D20" i="5"/>
  <c r="D26" i="5"/>
  <c r="C32" i="5"/>
  <c r="E38" i="5"/>
  <c r="C44" i="5"/>
  <c r="E49" i="5"/>
  <c r="A31" i="6"/>
  <c r="D35" i="6"/>
  <c r="C38" i="6"/>
  <c r="D48" i="7"/>
  <c r="C30" i="7"/>
  <c r="E43" i="7"/>
  <c r="D45" i="5"/>
  <c r="C24" i="7"/>
  <c r="C34" i="4"/>
  <c r="E33" i="5"/>
  <c r="E33" i="4"/>
  <c r="C50" i="7"/>
  <c r="C48" i="6"/>
  <c r="C26" i="4"/>
  <c r="C28" i="5"/>
  <c r="C52" i="5"/>
  <c r="C32" i="6"/>
  <c r="A43" i="6"/>
  <c r="A47" i="6"/>
  <c r="C44" i="7"/>
  <c r="E49" i="7"/>
  <c r="A21" i="7"/>
  <c r="A29" i="6"/>
  <c r="C38" i="7"/>
  <c r="D33" i="5"/>
  <c r="D35" i="7"/>
  <c r="C31" i="7"/>
  <c r="C50" i="4"/>
  <c r="A47" i="4"/>
  <c r="B33" i="5"/>
  <c r="E45" i="5"/>
  <c r="E23" i="4"/>
  <c r="C36" i="4"/>
  <c r="B41" i="4"/>
  <c r="E45" i="4"/>
  <c r="D51" i="4"/>
  <c r="A19" i="5"/>
  <c r="A43" i="5"/>
  <c r="D22" i="5"/>
  <c r="C34" i="5"/>
  <c r="B41" i="5"/>
  <c r="B21" i="6"/>
  <c r="D28" i="6"/>
  <c r="D32" i="6"/>
  <c r="B39" i="6"/>
  <c r="B43" i="6"/>
  <c r="C52" i="6"/>
  <c r="D28" i="7"/>
  <c r="A39" i="7"/>
  <c r="D44" i="7"/>
  <c r="C46" i="7"/>
  <c r="E27" i="5"/>
  <c r="E27" i="6"/>
  <c r="E35" i="6"/>
  <c r="D46" i="7"/>
  <c r="D44" i="6"/>
  <c r="D44" i="5"/>
  <c r="D29" i="4"/>
  <c r="C25" i="5"/>
  <c r="C25" i="4"/>
  <c r="A27" i="5"/>
  <c r="E37" i="6"/>
  <c r="E37" i="4"/>
  <c r="C42" i="7"/>
  <c r="C40" i="5"/>
  <c r="A53" i="7"/>
  <c r="A51" i="5"/>
  <c r="A51" i="4"/>
  <c r="A31" i="4"/>
  <c r="A45" i="5"/>
  <c r="E29" i="5"/>
  <c r="E41" i="5"/>
  <c r="D48" i="6"/>
  <c r="B39" i="7"/>
  <c r="E39" i="7"/>
  <c r="A48" i="5"/>
  <c r="A50" i="7"/>
  <c r="A48" i="4"/>
  <c r="B36" i="4"/>
  <c r="E34" i="4"/>
  <c r="C45" i="4"/>
  <c r="A52" i="4"/>
  <c r="A28" i="5"/>
  <c r="C33" i="5"/>
  <c r="C49" i="5"/>
  <c r="D21" i="6"/>
  <c r="A24" i="6"/>
  <c r="C37" i="6"/>
  <c r="C41" i="6"/>
  <c r="D45" i="6"/>
  <c r="D49" i="6"/>
  <c r="D53" i="6"/>
  <c r="A26" i="7"/>
  <c r="C47" i="7"/>
  <c r="D27" i="7"/>
  <c r="D30" i="4"/>
  <c r="D33" i="4"/>
  <c r="D42" i="4"/>
  <c r="E26" i="4"/>
  <c r="A36" i="4"/>
  <c r="D45" i="4"/>
  <c r="C53" i="4"/>
  <c r="E30" i="5"/>
  <c r="D43" i="5"/>
  <c r="D46" i="5"/>
  <c r="D49" i="5"/>
  <c r="C53" i="5"/>
  <c r="A32" i="6"/>
  <c r="D34" i="6"/>
  <c r="A36" i="6"/>
  <c r="D37" i="6"/>
  <c r="D41" i="6"/>
  <c r="C23" i="7"/>
  <c r="E32" i="7"/>
  <c r="E44" i="7"/>
  <c r="B51" i="7"/>
  <c r="A54" i="7"/>
  <c r="D31" i="6"/>
  <c r="D43" i="7"/>
  <c r="D25" i="6"/>
  <c r="D25" i="4"/>
  <c r="A28" i="6"/>
  <c r="B32" i="6"/>
  <c r="A44" i="6"/>
  <c r="A48" i="6"/>
  <c r="C51" i="7"/>
  <c r="B20" i="4"/>
  <c r="D46" i="4"/>
  <c r="C21" i="4"/>
  <c r="C29" i="4"/>
  <c r="D37" i="4"/>
  <c r="B46" i="4"/>
  <c r="D21" i="5"/>
  <c r="D37" i="5"/>
  <c r="C41" i="5"/>
  <c r="D50" i="5"/>
  <c r="D22" i="6"/>
  <c r="A40" i="6"/>
  <c r="B44" i="6"/>
  <c r="B48" i="6"/>
  <c r="D50" i="6"/>
  <c r="B52" i="6"/>
  <c r="C27" i="7"/>
  <c r="D36" i="7"/>
  <c r="C39" i="7"/>
  <c r="E48" i="7"/>
  <c r="D51" i="7"/>
  <c r="A44" i="5"/>
  <c r="A32" i="5"/>
  <c r="E46" i="5"/>
  <c r="A52" i="6"/>
  <c r="A30" i="7"/>
  <c r="A42" i="7"/>
  <c r="E46" i="4"/>
  <c r="D21" i="4"/>
  <c r="E50" i="5"/>
  <c r="B40" i="6"/>
  <c r="E24" i="7"/>
  <c r="E36" i="7"/>
  <c r="E26" i="5"/>
  <c r="A20" i="4"/>
  <c r="C37" i="4"/>
  <c r="E34" i="6"/>
  <c r="C41" i="4"/>
  <c r="D38" i="5"/>
  <c r="D38" i="6"/>
  <c r="E22" i="7"/>
  <c r="E20" i="6"/>
  <c r="E26" i="7"/>
  <c r="E24" i="6"/>
  <c r="A32" i="7"/>
  <c r="A30" i="6"/>
  <c r="A40" i="7"/>
  <c r="A38" i="6"/>
  <c r="C45" i="7"/>
  <c r="C43" i="6"/>
  <c r="C53" i="7"/>
  <c r="C51" i="6"/>
  <c r="B48" i="7"/>
  <c r="B46" i="5"/>
  <c r="A28" i="7"/>
  <c r="A26" i="6"/>
  <c r="A26" i="5"/>
  <c r="E34" i="7"/>
  <c r="E32" i="6"/>
  <c r="E38" i="7"/>
  <c r="E36" i="6"/>
  <c r="E36" i="4"/>
  <c r="A44" i="7"/>
  <c r="A42" i="6"/>
  <c r="A42" i="5"/>
  <c r="A48" i="7"/>
  <c r="A46" i="6"/>
  <c r="C49" i="7"/>
  <c r="C47" i="6"/>
  <c r="E54" i="7"/>
  <c r="E52" i="6"/>
  <c r="A42" i="4"/>
  <c r="C19" i="5"/>
  <c r="E36" i="5"/>
  <c r="D19" i="6"/>
  <c r="B36" i="7"/>
  <c r="B34" i="5"/>
  <c r="D41" i="7"/>
  <c r="D39" i="4"/>
  <c r="B44" i="7"/>
  <c r="B42" i="5"/>
  <c r="E19" i="6"/>
  <c r="E19" i="5"/>
  <c r="E47" i="6"/>
  <c r="E47" i="5"/>
  <c r="A49" i="6"/>
  <c r="A49" i="5"/>
  <c r="C19" i="4"/>
  <c r="D43" i="6"/>
  <c r="A45" i="6"/>
  <c r="D19" i="4"/>
  <c r="E35" i="4"/>
  <c r="C38" i="4"/>
  <c r="C43" i="4"/>
  <c r="D23" i="4"/>
  <c r="A38" i="4"/>
  <c r="D47" i="4"/>
  <c r="A38" i="5"/>
  <c r="D27" i="5"/>
  <c r="C30" i="5"/>
  <c r="E32" i="5"/>
  <c r="C47" i="5"/>
  <c r="C19" i="6"/>
  <c r="C22" i="6"/>
  <c r="A33" i="6"/>
  <c r="B42" i="6"/>
  <c r="E43" i="6"/>
  <c r="E30" i="7"/>
  <c r="E28" i="6"/>
  <c r="A36" i="7"/>
  <c r="A34" i="6"/>
  <c r="A34" i="5"/>
  <c r="E42" i="7"/>
  <c r="E40" i="6"/>
  <c r="E40" i="4"/>
  <c r="A52" i="7"/>
  <c r="A50" i="6"/>
  <c r="A50" i="5"/>
  <c r="B28" i="7"/>
  <c r="B26" i="5"/>
  <c r="B52" i="7"/>
  <c r="B50" i="5"/>
  <c r="E24" i="5"/>
  <c r="D51" i="5"/>
  <c r="D23" i="6"/>
  <c r="B34" i="6"/>
  <c r="C46" i="6"/>
  <c r="C46" i="4"/>
  <c r="E51" i="6"/>
  <c r="E51" i="5"/>
  <c r="C47" i="4"/>
  <c r="A37" i="5"/>
  <c r="A33" i="4"/>
  <c r="E31" i="4"/>
  <c r="E20" i="5"/>
  <c r="E52" i="5"/>
  <c r="C42" i="6"/>
  <c r="B20" i="5"/>
  <c r="B22" i="7"/>
  <c r="B24" i="5"/>
  <c r="B26" i="7"/>
  <c r="B32" i="5"/>
  <c r="B34" i="7"/>
  <c r="B36" i="5"/>
  <c r="B38" i="7"/>
  <c r="B40" i="5"/>
  <c r="B42" i="7"/>
  <c r="B44" i="5"/>
  <c r="B46" i="7"/>
  <c r="B48" i="5"/>
  <c r="B50" i="7"/>
  <c r="B52" i="5"/>
  <c r="B54" i="7"/>
  <c r="D53" i="4"/>
  <c r="D55" i="7"/>
  <c r="E39" i="4"/>
  <c r="E39" i="5"/>
  <c r="E32" i="4"/>
  <c r="C42" i="4"/>
  <c r="E52" i="4"/>
  <c r="E19" i="4"/>
  <c r="D43" i="4"/>
  <c r="A34" i="4"/>
  <c r="A29" i="5"/>
  <c r="D47" i="5"/>
  <c r="C50" i="5"/>
  <c r="E31" i="6"/>
  <c r="C22" i="4"/>
  <c r="E43" i="4"/>
  <c r="E20" i="4"/>
  <c r="B34" i="4"/>
  <c r="A50" i="4"/>
  <c r="A30" i="5"/>
  <c r="D35" i="5"/>
  <c r="C38" i="5"/>
  <c r="E40" i="5"/>
  <c r="B24" i="6"/>
  <c r="C30" i="6"/>
  <c r="D39" i="6"/>
  <c r="A41" i="6"/>
  <c r="E21" i="7"/>
  <c r="E29" i="7"/>
  <c r="C32" i="7"/>
  <c r="A35" i="7"/>
  <c r="E37" i="7"/>
  <c r="A43" i="7"/>
  <c r="E45" i="7"/>
  <c r="C48" i="7"/>
  <c r="A51" i="7"/>
  <c r="E53" i="7"/>
  <c r="A24" i="7"/>
  <c r="A22" i="6"/>
  <c r="C29" i="7"/>
  <c r="C27" i="6"/>
  <c r="C33" i="7"/>
  <c r="C31" i="6"/>
  <c r="C37" i="7"/>
  <c r="C35" i="6"/>
  <c r="C41" i="7"/>
  <c r="C39" i="6"/>
  <c r="E46" i="7"/>
  <c r="E44" i="6"/>
  <c r="E44" i="4"/>
  <c r="E50" i="7"/>
  <c r="E48" i="6"/>
  <c r="E48" i="4"/>
  <c r="C51" i="5"/>
  <c r="B24" i="7"/>
  <c r="B22" i="5"/>
  <c r="D33" i="7"/>
  <c r="D31" i="4"/>
  <c r="B40" i="7"/>
  <c r="B38" i="5"/>
  <c r="B42" i="4"/>
  <c r="D35" i="4"/>
  <c r="C27" i="5"/>
  <c r="D39" i="5"/>
  <c r="E23" i="6"/>
  <c r="C34" i="6"/>
  <c r="A21" i="4"/>
  <c r="E24" i="4"/>
  <c r="C35" i="5"/>
  <c r="A21" i="6"/>
  <c r="A49" i="4"/>
  <c r="C27" i="4"/>
  <c r="C51" i="4"/>
  <c r="A26" i="4"/>
  <c r="A30" i="4"/>
  <c r="C39" i="4"/>
  <c r="B50" i="4"/>
  <c r="A53" i="5"/>
  <c r="D23" i="5"/>
  <c r="E28" i="5"/>
  <c r="C43" i="5"/>
  <c r="D27" i="6"/>
  <c r="D33" i="6"/>
  <c r="B38" i="6"/>
  <c r="E39" i="6"/>
  <c r="D47" i="6"/>
  <c r="B4" i="4"/>
  <c r="C17" i="7"/>
  <c r="C15" i="5"/>
  <c r="C15" i="6"/>
  <c r="E12" i="4"/>
  <c r="E12" i="6"/>
  <c r="E12" i="5"/>
  <c r="E14" i="7"/>
  <c r="E17" i="4"/>
  <c r="E17" i="5"/>
  <c r="E4" i="4"/>
  <c r="E4" i="5"/>
  <c r="E6" i="7"/>
  <c r="E4" i="6"/>
  <c r="C11" i="4"/>
  <c r="C11" i="5"/>
  <c r="C11" i="6"/>
  <c r="C13" i="7"/>
  <c r="A14" i="4"/>
  <c r="E8" i="6"/>
  <c r="E18" i="7"/>
  <c r="D16" i="7"/>
  <c r="C7" i="5"/>
  <c r="A14" i="6"/>
  <c r="E8" i="5"/>
  <c r="A18" i="5"/>
  <c r="A20" i="7"/>
  <c r="C13" i="6"/>
  <c r="B15" i="7"/>
  <c r="C4" i="4"/>
  <c r="A4" i="5"/>
  <c r="A6" i="6"/>
  <c r="D12" i="6"/>
  <c r="E16" i="6"/>
  <c r="A8" i="7"/>
  <c r="E7" i="6"/>
  <c r="A17" i="5"/>
  <c r="E18" i="4"/>
  <c r="C7" i="6"/>
  <c r="A4" i="4"/>
  <c r="D16" i="6"/>
  <c r="A6" i="5"/>
  <c r="A18" i="6"/>
  <c r="E10" i="7"/>
  <c r="D18" i="7"/>
  <c r="A8" i="6"/>
  <c r="C14" i="4"/>
  <c r="B7" i="7"/>
  <c r="B5" i="4"/>
  <c r="B9" i="7"/>
  <c r="B8" i="7"/>
  <c r="A9" i="5"/>
  <c r="E15" i="6"/>
  <c r="E17" i="7"/>
  <c r="E15" i="5"/>
  <c r="E15" i="4"/>
  <c r="D17" i="4"/>
  <c r="D19" i="7"/>
  <c r="D17" i="6"/>
  <c r="B15" i="5"/>
  <c r="B9" i="5"/>
  <c r="B11" i="7"/>
  <c r="D10" i="5"/>
  <c r="D12" i="7"/>
  <c r="D14" i="5"/>
  <c r="B17" i="5"/>
  <c r="D18" i="5"/>
  <c r="D18" i="4"/>
  <c r="D20" i="7"/>
  <c r="D15" i="7"/>
  <c r="D13" i="6"/>
  <c r="E19" i="7"/>
  <c r="E17" i="6"/>
  <c r="B9" i="6"/>
  <c r="D6" i="7"/>
  <c r="B17" i="7"/>
  <c r="C7" i="7"/>
  <c r="C5" i="5"/>
  <c r="C9" i="5"/>
  <c r="C11" i="7"/>
  <c r="C15" i="7"/>
  <c r="C13" i="5"/>
  <c r="A16" i="5"/>
  <c r="A18" i="7"/>
  <c r="B9" i="4"/>
  <c r="D11" i="7"/>
  <c r="D9" i="6"/>
  <c r="E15" i="7"/>
  <c r="E13" i="5"/>
  <c r="E13" i="6"/>
  <c r="D15" i="6"/>
  <c r="D17" i="7"/>
  <c r="D15" i="5"/>
  <c r="D9" i="5"/>
  <c r="B13" i="5"/>
  <c r="A4" i="6"/>
  <c r="E6" i="6"/>
  <c r="C9" i="6"/>
  <c r="E14" i="6"/>
  <c r="C6" i="7"/>
  <c r="C4" i="6"/>
  <c r="A5" i="6"/>
  <c r="A7" i="7"/>
  <c r="A5" i="4"/>
  <c r="A15" i="7"/>
  <c r="C18" i="4"/>
  <c r="C18" i="6"/>
  <c r="C18" i="5"/>
  <c r="C20" i="7"/>
  <c r="A13" i="7"/>
  <c r="A11" i="4"/>
  <c r="A11" i="6"/>
  <c r="A11" i="5"/>
  <c r="D7" i="7"/>
  <c r="D5" i="6"/>
  <c r="E11" i="7"/>
  <c r="E9" i="6"/>
  <c r="E7" i="7"/>
  <c r="E5" i="5"/>
  <c r="E5" i="6"/>
  <c r="D7" i="6"/>
  <c r="D9" i="7"/>
  <c r="B14" i="7"/>
  <c r="B12" i="5"/>
  <c r="B12" i="6"/>
  <c r="B18" i="6"/>
  <c r="B18" i="5"/>
  <c r="B18" i="4"/>
  <c r="B20" i="7"/>
  <c r="B5" i="5"/>
  <c r="D7" i="5"/>
  <c r="D16" i="5"/>
  <c r="C10" i="6"/>
  <c r="C10" i="5"/>
  <c r="C12" i="7"/>
  <c r="C10" i="4"/>
  <c r="A5" i="5"/>
  <c r="E9" i="5"/>
  <c r="A13" i="4"/>
  <c r="C14" i="7"/>
  <c r="C12" i="6"/>
  <c r="C12" i="4"/>
  <c r="B16" i="7"/>
  <c r="D5" i="5"/>
  <c r="B5" i="6"/>
  <c r="D10" i="6"/>
  <c r="B13" i="6"/>
  <c r="D18" i="6"/>
  <c r="A17" i="7"/>
  <c r="A15" i="5"/>
  <c r="A15" i="6"/>
  <c r="A15" i="4"/>
  <c r="C6" i="6"/>
  <c r="A17" i="6"/>
  <c r="A17" i="4"/>
  <c r="D4" i="4"/>
  <c r="D4" i="5"/>
  <c r="D11" i="6"/>
  <c r="D11" i="5"/>
  <c r="D13" i="7"/>
  <c r="B6" i="7"/>
  <c r="B4" i="5"/>
  <c r="B4" i="6"/>
  <c r="C8" i="4"/>
  <c r="C10" i="7"/>
  <c r="C8" i="6"/>
  <c r="B10" i="6"/>
  <c r="B10" i="5"/>
  <c r="B12" i="7"/>
  <c r="D12" i="4"/>
  <c r="D12" i="5"/>
  <c r="C8" i="5"/>
  <c r="E9" i="4"/>
  <c r="B15" i="4"/>
  <c r="C9" i="4"/>
  <c r="D5" i="4"/>
  <c r="B12" i="4"/>
  <c r="E6" i="4"/>
  <c r="E14" i="4"/>
  <c r="C15" i="4"/>
  <c r="C5" i="4"/>
  <c r="E16" i="4"/>
  <c r="C13" i="4"/>
  <c r="C7" i="4"/>
  <c r="D7" i="4"/>
  <c r="D10" i="4"/>
  <c r="B13" i="4"/>
  <c r="D15" i="4"/>
  <c r="B6" i="4"/>
  <c r="A16" i="4"/>
  <c r="D11" i="4"/>
  <c r="B10" i="4"/>
  <c r="J5" i="7"/>
  <c r="I5" i="7"/>
  <c r="G5" i="7"/>
  <c r="I3" i="6"/>
  <c r="G3" i="6"/>
  <c r="H3" i="6"/>
  <c r="V29" i="12"/>
  <c r="V53" i="12"/>
  <c r="V50" i="12"/>
  <c r="V46" i="12"/>
  <c r="V41" i="12"/>
  <c r="V45" i="12"/>
  <c r="V37" i="12"/>
  <c r="V34" i="12"/>
  <c r="V42" i="12"/>
  <c r="V33" i="12"/>
  <c r="V30" i="12"/>
  <c r="V38" i="12"/>
  <c r="V49" i="12"/>
  <c r="R24" i="12"/>
  <c r="V24" i="12"/>
  <c r="R27" i="12"/>
  <c r="V27" i="12"/>
  <c r="R23" i="12"/>
  <c r="R26" i="12"/>
  <c r="V26" i="12"/>
  <c r="N24" i="12"/>
  <c r="R22" i="12"/>
  <c r="N22" i="12"/>
  <c r="R28" i="12"/>
  <c r="V28" i="12"/>
  <c r="N27" i="12"/>
  <c r="R25" i="12"/>
  <c r="V25" i="12"/>
  <c r="N28" i="12"/>
  <c r="N29" i="12"/>
  <c r="V31" i="12"/>
  <c r="N33" i="12"/>
  <c r="V35" i="12"/>
  <c r="N37" i="12"/>
  <c r="V39" i="12"/>
  <c r="N41" i="12"/>
  <c r="V43" i="12"/>
  <c r="N45" i="12"/>
  <c r="V47" i="12"/>
  <c r="N49" i="12"/>
  <c r="V51" i="12"/>
  <c r="N53" i="12"/>
  <c r="V54" i="12"/>
  <c r="N30" i="12"/>
  <c r="V32" i="12"/>
  <c r="N34" i="12"/>
  <c r="V36" i="12"/>
  <c r="N38" i="12"/>
  <c r="V40" i="12"/>
  <c r="N42" i="12"/>
  <c r="V44" i="12"/>
  <c r="N46" i="12"/>
  <c r="V48" i="12"/>
  <c r="N50" i="12"/>
  <c r="V52" i="12"/>
  <c r="N31" i="12"/>
  <c r="N35" i="12"/>
  <c r="N39" i="12"/>
  <c r="N43" i="12"/>
  <c r="N47" i="12"/>
  <c r="N51" i="12"/>
  <c r="N54" i="12"/>
  <c r="N32" i="12"/>
  <c r="N36" i="12"/>
  <c r="N40" i="12"/>
  <c r="N44" i="12"/>
  <c r="N48" i="12"/>
  <c r="N52" i="12"/>
  <c r="A9" i="6"/>
  <c r="A7" i="5"/>
  <c r="E11" i="5"/>
  <c r="C23" i="5"/>
  <c r="B28" i="4"/>
  <c r="B32" i="7"/>
  <c r="A12" i="6"/>
  <c r="A7" i="6"/>
  <c r="A12" i="4"/>
  <c r="B30" i="7"/>
  <c r="E11" i="4"/>
  <c r="B28" i="5"/>
  <c r="C23" i="4"/>
  <c r="E21" i="6"/>
  <c r="A27" i="4"/>
  <c r="A29" i="7"/>
  <c r="E7" i="4"/>
  <c r="A9" i="4"/>
  <c r="E7" i="5"/>
  <c r="E11" i="6"/>
  <c r="C23" i="6"/>
  <c r="E21" i="4"/>
  <c r="A14" i="7"/>
  <c r="B28" i="6"/>
  <c r="B19" i="7"/>
  <c r="B29" i="6"/>
  <c r="B23" i="7"/>
  <c r="B17" i="6"/>
  <c r="B21" i="4"/>
  <c r="D8" i="4"/>
  <c r="D10" i="7"/>
  <c r="D29" i="6"/>
  <c r="D29" i="5"/>
  <c r="C29" i="5"/>
  <c r="B13" i="7"/>
  <c r="C17" i="6"/>
  <c r="C19" i="7"/>
  <c r="B11" i="5"/>
  <c r="B7" i="6"/>
  <c r="C17" i="5"/>
  <c r="B11" i="4"/>
  <c r="D19" i="5"/>
  <c r="B22" i="4"/>
  <c r="E30" i="4"/>
  <c r="E25" i="5"/>
  <c r="D8" i="6"/>
  <c r="B7" i="5"/>
  <c r="D28" i="5"/>
  <c r="B30" i="4"/>
  <c r="B30" i="5"/>
  <c r="B30" i="6"/>
  <c r="B16" i="6"/>
  <c r="C26" i="7"/>
  <c r="C24" i="6"/>
  <c r="C24" i="5"/>
  <c r="C24" i="4"/>
  <c r="B16" i="4"/>
  <c r="A13" i="6"/>
  <c r="B6" i="6"/>
  <c r="B25" i="4"/>
  <c r="E23" i="7"/>
  <c r="B14" i="5"/>
  <c r="B18" i="7"/>
  <c r="D22" i="4"/>
  <c r="C22" i="7"/>
  <c r="C20" i="6"/>
  <c r="B14" i="6"/>
  <c r="C6" i="5"/>
  <c r="C6" i="4"/>
  <c r="B8" i="6"/>
  <c r="C16" i="6"/>
  <c r="A27" i="7"/>
  <c r="A25" i="6"/>
  <c r="E25" i="6"/>
  <c r="E27" i="7"/>
  <c r="A25" i="7"/>
  <c r="A23" i="6"/>
  <c r="A23" i="5"/>
  <c r="B10" i="7"/>
  <c r="C16" i="4"/>
  <c r="E22" i="6"/>
  <c r="A20" i="6"/>
  <c r="A25" i="5"/>
  <c r="B27" i="7"/>
  <c r="E22" i="5"/>
  <c r="B8" i="4"/>
  <c r="C18" i="7"/>
  <c r="A20" i="5"/>
  <c r="B25" i="5"/>
  <c r="E12" i="7"/>
  <c r="E10" i="5"/>
  <c r="E10" i="6"/>
  <c r="D14" i="4"/>
  <c r="A10" i="7"/>
  <c r="D14" i="6"/>
  <c r="D6" i="4"/>
  <c r="E8" i="7"/>
  <c r="E6" i="5"/>
  <c r="A8" i="4"/>
  <c r="C16" i="7"/>
  <c r="A8" i="5"/>
  <c r="D6" i="5"/>
  <c r="E16" i="7"/>
  <c r="E14" i="5"/>
  <c r="A9" i="7"/>
  <c r="C14" i="6"/>
  <c r="D8" i="7"/>
  <c r="E20" i="7"/>
  <c r="E18" i="6"/>
  <c r="A19" i="7"/>
  <c r="A10" i="6"/>
  <c r="A12" i="7"/>
  <c r="A10" i="5"/>
  <c r="A10" i="4"/>
  <c r="C14" i="5"/>
  <c r="E18" i="5"/>
  <c r="H3" i="5"/>
  <c r="G3" i="5"/>
  <c r="E3" i="5"/>
  <c r="D3" i="5"/>
  <c r="C3" i="5"/>
  <c r="G3" i="4"/>
  <c r="A3" i="4"/>
  <c r="F5" i="7"/>
  <c r="P10" i="1"/>
  <c r="P9" i="1"/>
  <c r="P8" i="1"/>
  <c r="P7" i="1"/>
  <c r="P6" i="1"/>
  <c r="P5" i="1"/>
  <c r="P4" i="1"/>
  <c r="P3" i="1"/>
  <c r="D53" i="1"/>
  <c r="C52" i="1"/>
  <c r="J22" i="12"/>
  <c r="N25" i="12"/>
  <c r="V23" i="12"/>
  <c r="N26" i="12"/>
  <c r="N23" i="12"/>
  <c r="V22" i="12"/>
  <c r="J34" i="12"/>
  <c r="R20" i="12"/>
  <c r="V20" i="12"/>
  <c r="N20" i="12"/>
  <c r="J20" i="12"/>
  <c r="J48" i="12"/>
  <c r="J52" i="12"/>
  <c r="J42" i="12"/>
  <c r="J39" i="12"/>
  <c r="J45" i="12"/>
  <c r="J37" i="12"/>
  <c r="J46" i="12"/>
  <c r="J43" i="12"/>
  <c r="J51" i="12"/>
  <c r="F38" i="7"/>
  <c r="F36" i="4"/>
  <c r="F36" i="6"/>
  <c r="F36" i="5"/>
  <c r="F53" i="7"/>
  <c r="F51" i="4"/>
  <c r="F51" i="6"/>
  <c r="F51" i="5"/>
  <c r="F42" i="4"/>
  <c r="F44" i="7"/>
  <c r="F42" i="6"/>
  <c r="F42" i="5"/>
  <c r="F44" i="4"/>
  <c r="F46" i="7"/>
  <c r="F44" i="5"/>
  <c r="F44" i="6"/>
  <c r="F50" i="6"/>
  <c r="F52" i="7"/>
  <c r="F50" i="4"/>
  <c r="F50" i="5"/>
  <c r="F43" i="7"/>
  <c r="F41" i="6"/>
  <c r="F41" i="5"/>
  <c r="F41" i="4"/>
  <c r="F45" i="5"/>
  <c r="F45" i="6"/>
  <c r="F45" i="4"/>
  <c r="F47" i="7"/>
  <c r="F47" i="6"/>
  <c r="F47" i="5"/>
  <c r="F47" i="4"/>
  <c r="F49" i="7"/>
  <c r="H15" i="12"/>
  <c r="H16" i="12"/>
  <c r="H8" i="12"/>
  <c r="H13" i="12"/>
  <c r="H1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6" i="12"/>
  <c r="H5" i="12"/>
  <c r="I5" i="12"/>
  <c r="B3" i="4"/>
  <c r="B5" i="7"/>
  <c r="B3" i="6"/>
  <c r="C3" i="4"/>
  <c r="C5" i="7"/>
  <c r="C3" i="6"/>
  <c r="D3" i="4"/>
  <c r="D5" i="7"/>
  <c r="D3" i="6"/>
  <c r="E3" i="4"/>
  <c r="E5" i="7"/>
  <c r="E3" i="6"/>
  <c r="B3" i="5"/>
  <c r="A3" i="6"/>
  <c r="A5" i="7"/>
  <c r="A3" i="5"/>
  <c r="H12" i="12"/>
  <c r="F3" i="6"/>
  <c r="F3" i="5"/>
  <c r="F3" i="4"/>
  <c r="H17" i="12"/>
  <c r="H9" i="12"/>
  <c r="H10" i="12"/>
  <c r="H7" i="12"/>
  <c r="H11" i="12"/>
  <c r="H19" i="12"/>
  <c r="H18" i="12"/>
  <c r="C3" i="9"/>
  <c r="A3" i="9"/>
  <c r="F2" i="9"/>
  <c r="A2" i="9"/>
  <c r="J27" i="12"/>
  <c r="J24" i="12"/>
  <c r="J28" i="12"/>
  <c r="J17" i="12"/>
  <c r="J23" i="12"/>
  <c r="J25" i="12"/>
  <c r="F22" i="7"/>
  <c r="J26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J32" i="12"/>
  <c r="J53" i="12"/>
  <c r="J50" i="12"/>
  <c r="J44" i="12"/>
  <c r="J41" i="12"/>
  <c r="J29" i="12"/>
  <c r="F16" i="6"/>
  <c r="J54" i="12"/>
  <c r="J49" i="12"/>
  <c r="J35" i="12"/>
  <c r="J33" i="12"/>
  <c r="J40" i="12"/>
  <c r="R21" i="12"/>
  <c r="J21" i="12"/>
  <c r="F16" i="4"/>
  <c r="J47" i="12"/>
  <c r="J38" i="12"/>
  <c r="J30" i="12"/>
  <c r="J36" i="12"/>
  <c r="J31" i="12"/>
  <c r="F12" i="7"/>
  <c r="F15" i="4"/>
  <c r="J18" i="12"/>
  <c r="J15" i="12"/>
  <c r="J6" i="12"/>
  <c r="F29" i="5"/>
  <c r="F14" i="7"/>
  <c r="F9" i="5"/>
  <c r="J8" i="12"/>
  <c r="F4" i="4"/>
  <c r="F6" i="5"/>
  <c r="F39" i="6"/>
  <c r="F23" i="7"/>
  <c r="F33" i="5"/>
  <c r="F39" i="4"/>
  <c r="F41" i="7"/>
  <c r="F21" i="4"/>
  <c r="F12" i="5"/>
  <c r="F21" i="5"/>
  <c r="J13" i="12"/>
  <c r="F12" i="4"/>
  <c r="F21" i="6"/>
  <c r="F8" i="7"/>
  <c r="F12" i="6"/>
  <c r="F39" i="5"/>
  <c r="F6" i="4"/>
  <c r="F6" i="6"/>
  <c r="F18" i="4"/>
  <c r="F18" i="6"/>
  <c r="F20" i="7"/>
  <c r="F18" i="5"/>
  <c r="F9" i="7"/>
  <c r="F7" i="6"/>
  <c r="F7" i="5"/>
  <c r="F7" i="4"/>
  <c r="F38" i="6"/>
  <c r="F38" i="5"/>
  <c r="F40" i="7"/>
  <c r="F34" i="4"/>
  <c r="F36" i="7"/>
  <c r="F34" i="6"/>
  <c r="F34" i="5"/>
  <c r="F49" i="4"/>
  <c r="F49" i="5"/>
  <c r="F51" i="7"/>
  <c r="F49" i="6"/>
  <c r="F17" i="6"/>
  <c r="F17" i="5"/>
  <c r="F19" i="7"/>
  <c r="F17" i="4"/>
  <c r="F25" i="5"/>
  <c r="F25" i="4"/>
  <c r="F27" i="7"/>
  <c r="F25" i="6"/>
  <c r="F38" i="4"/>
  <c r="F8" i="6"/>
  <c r="F8" i="5"/>
  <c r="F10" i="7"/>
  <c r="F8" i="4"/>
  <c r="F28" i="6"/>
  <c r="F30" i="7"/>
  <c r="F28" i="5"/>
  <c r="F28" i="4"/>
  <c r="F53" i="4"/>
  <c r="F53" i="5"/>
  <c r="F55" i="7"/>
  <c r="F53" i="6"/>
  <c r="F32" i="5"/>
  <c r="F34" i="7"/>
  <c r="F32" i="4"/>
  <c r="F32" i="6"/>
  <c r="F29" i="6"/>
  <c r="F50" i="7"/>
  <c r="F48" i="4"/>
  <c r="F48" i="5"/>
  <c r="F48" i="6"/>
  <c r="F46" i="5"/>
  <c r="F46" i="4"/>
  <c r="F48" i="7"/>
  <c r="F46" i="6"/>
  <c r="F40" i="6"/>
  <c r="F40" i="5"/>
  <c r="F40" i="4"/>
  <c r="F42" i="7"/>
  <c r="F33" i="4"/>
  <c r="F33" i="6"/>
  <c r="F35" i="7"/>
  <c r="F35" i="6"/>
  <c r="F35" i="5"/>
  <c r="F37" i="7"/>
  <c r="F35" i="4"/>
  <c r="F11" i="5"/>
  <c r="F11" i="6"/>
  <c r="F11" i="4"/>
  <c r="F13" i="7"/>
  <c r="F15" i="7"/>
  <c r="F13" i="4"/>
  <c r="F13" i="6"/>
  <c r="F13" i="5"/>
  <c r="F39" i="7"/>
  <c r="F37" i="6"/>
  <c r="F37" i="4"/>
  <c r="F37" i="5"/>
  <c r="F27" i="4"/>
  <c r="F29" i="7"/>
  <c r="F27" i="6"/>
  <c r="F27" i="5"/>
  <c r="F52" i="4"/>
  <c r="F52" i="5"/>
  <c r="F54" i="7"/>
  <c r="F52" i="6"/>
  <c r="F43" i="5"/>
  <c r="F45" i="7"/>
  <c r="F43" i="4"/>
  <c r="F43" i="6"/>
  <c r="F5" i="5"/>
  <c r="F7" i="7"/>
  <c r="F5" i="4"/>
  <c r="F5" i="6"/>
  <c r="J19" i="12"/>
  <c r="J12" i="12"/>
  <c r="F33" i="7"/>
  <c r="F31" i="6"/>
  <c r="F31" i="4"/>
  <c r="F31" i="5"/>
  <c r="F28" i="7"/>
  <c r="F26" i="6"/>
  <c r="F26" i="5"/>
  <c r="F26" i="4"/>
  <c r="F22" i="6"/>
  <c r="F22" i="4"/>
  <c r="F22" i="5"/>
  <c r="F24" i="7"/>
  <c r="J14" i="12"/>
  <c r="J16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C54" i="1"/>
  <c r="F16" i="5"/>
  <c r="F18" i="7"/>
  <c r="F20" i="5"/>
  <c r="F20" i="4"/>
  <c r="V21" i="12"/>
  <c r="N21" i="12"/>
  <c r="F20" i="6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F23" i="5"/>
  <c r="F24" i="5"/>
  <c r="F10" i="4"/>
  <c r="F10" i="5"/>
  <c r="F10" i="6"/>
  <c r="F21" i="7"/>
  <c r="F15" i="6"/>
  <c r="F19" i="6"/>
  <c r="F17" i="7"/>
  <c r="F19" i="4"/>
  <c r="F24" i="6"/>
  <c r="F24" i="4"/>
  <c r="F15" i="5"/>
  <c r="F26" i="7"/>
  <c r="J10" i="12"/>
  <c r="F30" i="6"/>
  <c r="F4" i="6"/>
  <c r="F4" i="5"/>
  <c r="F6" i="7"/>
  <c r="F30" i="4"/>
  <c r="F9" i="4"/>
  <c r="F11" i="7"/>
  <c r="F30" i="5"/>
  <c r="F9" i="6"/>
  <c r="F31" i="7"/>
  <c r="F29" i="4"/>
  <c r="F32" i="7"/>
  <c r="F14" i="4"/>
  <c r="F16" i="7"/>
  <c r="F14" i="5"/>
  <c r="F14" i="6"/>
  <c r="R15" i="12"/>
  <c r="V15" i="12"/>
  <c r="R19" i="12"/>
  <c r="V19" i="12"/>
  <c r="R12" i="12"/>
  <c r="R14" i="12"/>
  <c r="R16" i="12"/>
  <c r="V16" i="12"/>
  <c r="R10" i="12"/>
  <c r="R8" i="12"/>
  <c r="V8" i="12"/>
  <c r="V14" i="12"/>
  <c r="R7" i="12"/>
  <c r="V7" i="12"/>
  <c r="R17" i="12"/>
  <c r="V17" i="12"/>
  <c r="V10" i="12"/>
  <c r="V12" i="12"/>
  <c r="R11" i="12"/>
  <c r="V11" i="12"/>
  <c r="R18" i="12"/>
  <c r="V18" i="12"/>
  <c r="R13" i="12"/>
  <c r="V13" i="12"/>
  <c r="R9" i="12"/>
  <c r="V9" i="12"/>
  <c r="R6" i="12"/>
  <c r="V6" i="12"/>
  <c r="V5" i="12"/>
  <c r="W5" i="12"/>
  <c r="R5" i="12"/>
  <c r="N18" i="12"/>
  <c r="N17" i="12"/>
  <c r="N5" i="12"/>
  <c r="O5" i="12"/>
  <c r="J9" i="12"/>
  <c r="J7" i="12"/>
  <c r="J11" i="12"/>
  <c r="J5" i="12"/>
  <c r="K5" i="12"/>
  <c r="K6" i="12"/>
  <c r="N13" i="12"/>
  <c r="N8" i="12"/>
  <c r="N14" i="12"/>
  <c r="N10" i="12"/>
  <c r="N12" i="12"/>
  <c r="F25" i="7"/>
  <c r="F23" i="6"/>
  <c r="F19" i="5"/>
  <c r="F23" i="4"/>
  <c r="N7" i="12"/>
  <c r="N11" i="12"/>
  <c r="N16" i="12"/>
  <c r="N15" i="12"/>
  <c r="N9" i="12"/>
  <c r="N6" i="12"/>
  <c r="O6" i="12"/>
  <c r="S5" i="12"/>
  <c r="S6" i="12"/>
  <c r="S7" i="12"/>
  <c r="S8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N19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W20" i="12"/>
  <c r="W21" i="12"/>
  <c r="W22" i="12"/>
  <c r="W23" i="12"/>
  <c r="W24" i="12"/>
  <c r="W25" i="12"/>
  <c r="W26" i="12"/>
  <c r="W27" i="12"/>
  <c r="W28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S9" i="12"/>
  <c r="S10" i="12"/>
  <c r="S11" i="12"/>
  <c r="S12" i="12"/>
  <c r="S13" i="12"/>
  <c r="S14" i="12"/>
  <c r="S15" i="12"/>
  <c r="S16" i="12"/>
  <c r="S17" i="12"/>
  <c r="S18" i="12"/>
  <c r="S19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D4" i="9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S20" i="12"/>
  <c r="S21" i="12"/>
  <c r="S22" i="12"/>
  <c r="S23" i="12"/>
  <c r="S24" i="12"/>
  <c r="S25" i="12"/>
  <c r="S26" i="12"/>
  <c r="S27" i="12"/>
  <c r="S28" i="12"/>
  <c r="O20" i="12"/>
  <c r="O21" i="12"/>
  <c r="O22" i="12"/>
  <c r="O23" i="12"/>
  <c r="O24" i="12"/>
  <c r="O25" i="12"/>
  <c r="O26" i="12"/>
  <c r="O27" i="12"/>
  <c r="O28" i="12"/>
  <c r="W56" i="12"/>
  <c r="I5" i="9"/>
  <c r="M3" i="4"/>
  <c r="K56" i="12"/>
  <c r="P5" i="7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D5" i="9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R5" i="7"/>
  <c r="J5" i="9"/>
  <c r="N3" i="5"/>
  <c r="I4" i="9"/>
  <c r="O3" i="4"/>
  <c r="E4" i="9"/>
  <c r="O3" i="6"/>
  <c r="S56" i="12"/>
  <c r="O56" i="12"/>
  <c r="P3" i="5"/>
  <c r="J4" i="9"/>
  <c r="Q3" i="6"/>
  <c r="E5" i="9"/>
</calcChain>
</file>

<file path=xl/sharedStrings.xml><?xml version="1.0" encoding="utf-8"?>
<sst xmlns="http://schemas.openxmlformats.org/spreadsheetml/2006/main" count="319" uniqueCount="236">
  <si>
    <t>Approximate Completion Date</t>
  </si>
  <si>
    <t>Midterm</t>
  </si>
  <si>
    <t>Quiz 1</t>
  </si>
  <si>
    <t>Quiz 3</t>
  </si>
  <si>
    <t>Final Exam</t>
  </si>
  <si>
    <t>Initial EMA</t>
  </si>
  <si>
    <t>Assignment 1</t>
  </si>
  <si>
    <t>Assignment 2</t>
  </si>
  <si>
    <t>Course Total</t>
  </si>
  <si>
    <t>Quiz 2</t>
  </si>
  <si>
    <t>In Quiz 1 prediction</t>
  </si>
  <si>
    <t>In Quiz 2 prediction</t>
  </si>
  <si>
    <t>In Quiz 3 prediction</t>
  </si>
  <si>
    <t>Quiz 4</t>
  </si>
  <si>
    <t>In Quiz 4 prediction</t>
  </si>
  <si>
    <t>In Midterm prediction</t>
  </si>
  <si>
    <t>Midterm 2</t>
  </si>
  <si>
    <t>In Midterm 2 prediction</t>
  </si>
  <si>
    <t>In Final Exam prediction</t>
  </si>
  <si>
    <t>Assigment 3 Bonus</t>
  </si>
  <si>
    <t>Assignment 3</t>
  </si>
  <si>
    <t>Assignment 4</t>
  </si>
  <si>
    <t>Assignment 4 Bonus</t>
  </si>
  <si>
    <t>Assignment 5</t>
  </si>
  <si>
    <t>Assigment 5 Bonus</t>
  </si>
  <si>
    <t>Assignment 6</t>
  </si>
  <si>
    <t>Assignment 6 Bonus</t>
  </si>
  <si>
    <t>Total</t>
  </si>
  <si>
    <t>Total Bonus</t>
  </si>
  <si>
    <t>Other 2</t>
  </si>
  <si>
    <t>Other 3</t>
  </si>
  <si>
    <t>Other 4</t>
  </si>
  <si>
    <t>Other 5</t>
  </si>
  <si>
    <t>Other 6</t>
  </si>
  <si>
    <t>Lab 0 Report</t>
  </si>
  <si>
    <t>Quiz Performance</t>
  </si>
  <si>
    <t>Midterm Performance</t>
  </si>
  <si>
    <t>Final Exam Performance</t>
  </si>
  <si>
    <t>Assignment Performance</t>
  </si>
  <si>
    <t>Laboratory Performance</t>
  </si>
  <si>
    <t>Assignments / Lab On time</t>
  </si>
  <si>
    <t>C+/B-/B</t>
  </si>
  <si>
    <t>F</t>
  </si>
  <si>
    <t>F/D</t>
  </si>
  <si>
    <t>F/D/D+</t>
  </si>
  <si>
    <t>D/D+/C-</t>
  </si>
  <si>
    <t>D+/C-/C</t>
  </si>
  <si>
    <t>C-/C/C+</t>
  </si>
  <si>
    <t>C/C+/B-</t>
  </si>
  <si>
    <t>B-/B/B+</t>
  </si>
  <si>
    <t>B/B+/A-</t>
  </si>
  <si>
    <t>B+/A-/A</t>
  </si>
  <si>
    <t>A-/A/A+</t>
  </si>
  <si>
    <t>A/A+</t>
  </si>
  <si>
    <t>A+</t>
  </si>
  <si>
    <t>Grade Range</t>
  </si>
  <si>
    <t>Planned lower limit</t>
  </si>
  <si>
    <t>Lab 0 Demo</t>
  </si>
  <si>
    <t>Lab 1 Demo</t>
  </si>
  <si>
    <t>Lab 2 Demo</t>
  </si>
  <si>
    <t>Lab 3 Demo</t>
  </si>
  <si>
    <t>Lab 4 Demo</t>
  </si>
  <si>
    <t>Course Percentage</t>
  </si>
  <si>
    <t>Bonus Percentage</t>
  </si>
  <si>
    <t xml:space="preserve">Earned Mark Analysis </t>
  </si>
  <si>
    <t>Reordered Course Information</t>
  </si>
  <si>
    <t>Don't Adjust</t>
  </si>
  <si>
    <t>Last year's Component Grade</t>
  </si>
  <si>
    <t>Last'Year's Accumulative Grade</t>
  </si>
  <si>
    <t>Predicted Component Grade</t>
  </si>
  <si>
    <t>Predicted Accumulative Grade</t>
  </si>
  <si>
    <t>Planned Component Grade</t>
  </si>
  <si>
    <t>Planned Accumulative Grade</t>
  </si>
  <si>
    <t>Tracket Component Grade</t>
  </si>
  <si>
    <t>Trackled Accumulative Grade</t>
  </si>
  <si>
    <t>Show Question Marks</t>
  </si>
  <si>
    <t>Course Acculumative</t>
  </si>
  <si>
    <t>Planned mark</t>
  </si>
  <si>
    <t>Tracked Mark</t>
  </si>
  <si>
    <t>Desired Mark</t>
  </si>
  <si>
    <t>Desired Component Grade</t>
  </si>
  <si>
    <t>Desired Accumulative Grade</t>
  </si>
  <si>
    <t>Graph Series Labels</t>
  </si>
  <si>
    <t>????</t>
  </si>
  <si>
    <t>STEP 1</t>
  </si>
  <si>
    <t>Other course components</t>
  </si>
  <si>
    <t>STEP 2</t>
  </si>
  <si>
    <t>STEP 3</t>
  </si>
  <si>
    <t>STEP 4</t>
  </si>
  <si>
    <t>STEP 5</t>
  </si>
  <si>
    <t>View "Planning" sheet.  Adjust the marks to meet the final GPA range you plan to get for this course.</t>
  </si>
  <si>
    <t>View "Prediction" sheet to see a prediction of your mark this term using your typical mark on course tasks.</t>
  </si>
  <si>
    <t>Enter your name.</t>
  </si>
  <si>
    <t>STEP 6</t>
  </si>
  <si>
    <t>Go to "Submission" sheet and prepare your D2L upload for "Initial EMA" submission.</t>
  </si>
  <si>
    <t>"Initial EMA" submission is worth</t>
  </si>
  <si>
    <t>STEP 7</t>
  </si>
  <si>
    <t>REPEAT FOR EACH EMA SUBMISSION</t>
  </si>
  <si>
    <t xml:space="preserve">View "Tracking"Sheet.  Each time you complete a course component, or receive back a mark, </t>
  </si>
  <si>
    <t>update the mark on the "Tracking"Sheet</t>
  </si>
  <si>
    <t>STEP 8</t>
  </si>
  <si>
    <t>Go to "Submission" sheet and prepare your D2L upload for "EMA" submission.</t>
  </si>
  <si>
    <t>END REPEAT</t>
  </si>
  <si>
    <t>Predicted Mark</t>
  </si>
  <si>
    <t>Predicted Grade</t>
  </si>
  <si>
    <t>Planned Mark</t>
  </si>
  <si>
    <t>Planned Grade</t>
  </si>
  <si>
    <t>Update ???? In "Tracked Mark" column with the mark you got for the course component</t>
  </si>
  <si>
    <t>Replace ???? In "Planned Mark" colum with the mark you plan to get for the course component</t>
  </si>
  <si>
    <t>STEP 9</t>
  </si>
  <si>
    <t>Go to "Desired" sheet and work out what changes in your plans you need to receive the desired final GPA</t>
  </si>
  <si>
    <t>You can reset your "Planned" mark by typing in</t>
  </si>
  <si>
    <t>You can reset your "Tracked" mark by typing in</t>
  </si>
  <si>
    <t>You can reset your "Desired" mark by typing in</t>
  </si>
  <si>
    <t>Student Entered Information  -- Don't Adjust</t>
  </si>
  <si>
    <t>Unusual Component Performance</t>
  </si>
  <si>
    <t>Completion date is used to set the order of course</t>
  </si>
  <si>
    <t>Course Components</t>
  </si>
  <si>
    <t>Prediction based on last year's class average and your stated performance in other courses</t>
  </si>
  <si>
    <t xml:space="preserve">components. Leaving date blank means that </t>
  </si>
  <si>
    <t>this course component will be ignored in EMA</t>
  </si>
  <si>
    <t>SOME</t>
  </si>
  <si>
    <t>DELIBERATELY</t>
  </si>
  <si>
    <t>AVERAGES</t>
  </si>
  <si>
    <t>Post Lab 1 Quiz EMA</t>
  </si>
  <si>
    <t>Post Lab 2 Quiz EMA</t>
  </si>
  <si>
    <t>Post Lab 3 Quiz EMA</t>
  </si>
  <si>
    <t>Post Lab 4 Quiz EMA</t>
  </si>
  <si>
    <t>NOT IN USE</t>
  </si>
  <si>
    <t>Post Midterm Exam EMA</t>
  </si>
  <si>
    <t>Post Midterm 2 Exam EMA</t>
  </si>
  <si>
    <t>Pre Final Exam EMA</t>
  </si>
  <si>
    <t>DUE</t>
  </si>
  <si>
    <t xml:space="preserve">DUE </t>
  </si>
  <si>
    <t>The following are locked out at the moment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</si>
  <si>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</si>
  <si>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</si>
  <si>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</si>
  <si>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</si>
  <si>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</si>
  <si>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</si>
  <si>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</si>
  <si>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</si>
  <si>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</si>
  <si>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Your EMA sheets for D2L upload</t>
  </si>
  <si>
    <t>will be stored in this directory</t>
  </si>
  <si>
    <t>Planned GPA</t>
  </si>
  <si>
    <t>Predicted GPA</t>
  </si>
  <si>
    <t>Tracked  (To-date) GPA</t>
  </si>
  <si>
    <t>Desired GPA</t>
  </si>
  <si>
    <t xml:space="preserve">     M. Smith, Electrical and Computer Engineering, University of Calgary, Canada</t>
  </si>
  <si>
    <t>THIS SHEET SHOULD STAY LOCKED</t>
  </si>
  <si>
    <t>Directory name can be modified</t>
  </si>
  <si>
    <t>Post evaluation of</t>
  </si>
  <si>
    <t>Quiz 1 Mark</t>
  </si>
  <si>
    <t>Midterm 2 mark</t>
  </si>
  <si>
    <t>Quiz 4 mark</t>
  </si>
  <si>
    <t>Quix 2 mark</t>
  </si>
  <si>
    <t>Quiz 3 mark</t>
  </si>
  <si>
    <t>Your Pre Final Evaluation</t>
  </si>
  <si>
    <t>of your course GPA</t>
  </si>
  <si>
    <t>Midterm mark</t>
  </si>
  <si>
    <t xml:space="preserve"> BELOW the class average on these course tasks</t>
  </si>
  <si>
    <t>Enter your expected mark (-20% to + 20%) ABOVE or</t>
  </si>
  <si>
    <t xml:space="preserve">Enter your expected mark (+20% to -20%) above or below class average on these course tasks. </t>
  </si>
  <si>
    <t>upon upload to D2L.</t>
  </si>
  <si>
    <t>Enter the directory to store  EMA file on "EMA StartHere" sheet. Default is the same directory where you stored this EMA.xlsm file</t>
  </si>
  <si>
    <t>STUDENT NAME</t>
  </si>
  <si>
    <t>COURSE NAME</t>
  </si>
  <si>
    <t>WDS:511</t>
  </si>
  <si>
    <t xml:space="preserve">Update ???? in "Desired Mark" column with the mark you need to get for </t>
  </si>
  <si>
    <t>that course component to to boost your Final GPA to where you would like it to be</t>
  </si>
  <si>
    <t xml:space="preserve">A boost of 5% is straight forward to plan for (good nights's sleep perhaps).  </t>
  </si>
  <si>
    <t>For higher mark changes you will need to change the way you work (Your process)</t>
  </si>
  <si>
    <t>\Initial_EMA.csv</t>
  </si>
  <si>
    <t>\PostMidterm_EMA.csv</t>
  </si>
  <si>
    <t>\PostQuiz1_EMA.csv</t>
  </si>
  <si>
    <t>\PostQuiz3_EMA.csv</t>
  </si>
  <si>
    <t>\Pre Final Exam EMA.csv</t>
  </si>
  <si>
    <t>\Post Lab 2 Quiz EMA.csv</t>
  </si>
  <si>
    <t>\Post Lab 4 Quiz EMA.csv</t>
  </si>
  <si>
    <t>\Post Midterm 2 Exam EMA.csv</t>
  </si>
  <si>
    <t>Other 1</t>
  </si>
  <si>
    <t>PLACE COMMENTS HERE</t>
  </si>
  <si>
    <t>SET TO 0.001</t>
  </si>
  <si>
    <t>TO DISPLAY</t>
  </si>
  <si>
    <t>AS A "BLANK"</t>
  </si>
  <si>
    <t>Your predicted mark</t>
  </si>
  <si>
    <t>Your planned mark</t>
  </si>
  <si>
    <t>Your tracked mark</t>
  </si>
  <si>
    <t>Your desired mark</t>
  </si>
  <si>
    <t>EMA -- Earned Mark Analysis</t>
  </si>
  <si>
    <t>Original version developed by M. Smith and used in ENCM511 / ENCM515 from 1999 to 2014</t>
  </si>
  <si>
    <t>Mike.Smith @ ucalgary.ca</t>
  </si>
  <si>
    <t>Electrical Engineering, University of Calgary, Canada</t>
  </si>
  <si>
    <t>Smith, M. R., "Student Prediction and Tracking of Learning Progress during an Assembly Language Programming Course", Proceedings of American Society of Engineering Education, Charlotte, North Carolina, June 1999.</t>
  </si>
  <si>
    <t>Upgraded EMA developed by M. Smith in May 2015</t>
  </si>
  <si>
    <t>See also</t>
  </si>
  <si>
    <t>Send comments to:</t>
  </si>
  <si>
    <t>M. Gorobets, M. Smith and E. A. Marasco “Assessing Class Performance and Progress using Grade Self-Estimation in Undergraduate Embedded Systems Courses”,</t>
  </si>
  <si>
    <t>Proceedings of 2014 Canadian Engineering Education Association (CEEA14) Conference, Paper #55, Canmore, Canada, June 2014.</t>
  </si>
  <si>
    <t>Initial EMA Submit</t>
  </si>
  <si>
    <t>Post Quiz 1 EMA Submit</t>
  </si>
  <si>
    <t>Post Quiz 2 EMASubmit</t>
  </si>
  <si>
    <t>Post Quiz 3 EMASubmit</t>
  </si>
  <si>
    <t>Post Quiz 4 EMA Submit</t>
  </si>
  <si>
    <t>Post Midterm EMA Submit</t>
  </si>
  <si>
    <t>Post Midterm2 EMA Submit</t>
  </si>
  <si>
    <t>PLEASE PRESS  "CTRL-ALT-F9" TO FORCE A SPREADSHEET RECALCULATION</t>
  </si>
  <si>
    <t>AS THE DOWNLOAD DIRECTORY CELL (H35) DOES NOT AUTOMATICALLY UPDATE</t>
  </si>
  <si>
    <t>MAC USERS</t>
  </si>
  <si>
    <t xml:space="preserve">CHANGE FILE </t>
  </si>
  <si>
    <t>NAME FORMAT</t>
  </si>
  <si>
    <t>2017 Rough Class Average</t>
  </si>
  <si>
    <t>Lab 3/4 Report</t>
  </si>
  <si>
    <t>Assign 2 Early Bonus</t>
  </si>
  <si>
    <t>Assign 1 Early Bonus</t>
  </si>
  <si>
    <t>Pre Final EMA Submit</t>
  </si>
  <si>
    <t>Lab reports</t>
  </si>
  <si>
    <t>Quiz</t>
  </si>
  <si>
    <t>Assign</t>
  </si>
  <si>
    <t>EMA</t>
  </si>
  <si>
    <t>Mid</t>
  </si>
  <si>
    <t>Final</t>
  </si>
  <si>
    <t>Lab Demos</t>
  </si>
  <si>
    <t>2017 Rough class average</t>
  </si>
  <si>
    <t>Your Desired GPA EMA</t>
  </si>
  <si>
    <t>Your Predicted GPA EMA</t>
  </si>
  <si>
    <t>Your Planned GPA EMA</t>
  </si>
  <si>
    <t>Your Tracked GPA EMA</t>
  </si>
  <si>
    <t>Fall 2019</t>
  </si>
  <si>
    <t>Lab 0/1 Report</t>
  </si>
  <si>
    <t>Lab  2 Report</t>
  </si>
  <si>
    <t>PreLab 0 Report/Demo</t>
  </si>
  <si>
    <t>Aidan Johnson</t>
  </si>
  <si>
    <t>This is my intial 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</si>
</sst>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09]d\-mmm\-yy;@"/>
    <numFmt numFmtId="165" formatCode="0.0"/>
    <numFmt numFmtId="166" formatCode="d\a\te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26"/>
      <color theme="1"/>
      <name val="Times New Roman"/>
      <family val="1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8"/>
      <color theme="1"/>
      <name val="Times New Roman"/>
      <family val="1"/>
    </font>
    <font>
      <sz val="10"/>
      <color rgb="FF0061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rgb="FF9C6500"/>
      <name val="Calibri"/>
      <family val="2"/>
      <scheme val="minor"/>
    </font>
    <font>
      <sz val="8"/>
      <color rgb="FF9C65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6"/>
      <color theme="1"/>
      <name val="Times New Roman"/>
      <family val="1"/>
    </font>
    <font>
      <b/>
      <sz val="11"/>
      <color rgb="FF3F3F76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i/>
      <sz val="10"/>
      <color rgb="FFFA7D00"/>
      <name val="Calibri"/>
      <family val="2"/>
      <scheme val="minor"/>
    </font>
    <font>
      <u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rgb="FF9C65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 style="thick">
        <color auto="1"/>
      </bottom>
      <diagonal/>
    </border>
    <border>
      <left style="thick">
        <color auto="1"/>
      </left>
      <right style="thin">
        <color rgb="FFB2B2B2"/>
      </right>
      <top style="thick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/>
      <diagonal/>
    </border>
    <border>
      <left style="thick">
        <color auto="1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ck">
        <color auto="1"/>
      </bottom>
      <diagonal/>
    </border>
    <border>
      <left style="thin">
        <color rgb="FFB2B2B2"/>
      </left>
      <right/>
      <top style="thick">
        <color auto="1"/>
      </top>
      <bottom/>
      <diagonal/>
    </border>
    <border>
      <left style="thick">
        <color auto="1"/>
      </left>
      <right/>
      <top/>
      <bottom style="double">
        <color rgb="FFFF8001"/>
      </bottom>
      <diagonal/>
    </border>
    <border>
      <left/>
      <right style="thick">
        <color auto="1"/>
      </right>
      <top/>
      <bottom style="double">
        <color rgb="FFFF800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ck">
        <color auto="1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/>
      <diagonal/>
    </border>
    <border>
      <left style="thin">
        <color rgb="FFB2B2B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/>
      <right/>
      <top style="thick">
        <color rgb="FF7F7F7F"/>
      </top>
      <bottom style="thick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ck">
        <color auto="1"/>
      </top>
      <bottom style="thin">
        <color rgb="FFB2B2B2"/>
      </bottom>
      <diagonal/>
    </border>
    <border>
      <left style="thin">
        <color rgb="FFB2B2B2"/>
      </left>
      <right style="thick">
        <color auto="1"/>
      </right>
      <top style="thick">
        <color auto="1"/>
      </top>
      <bottom style="thin">
        <color rgb="FFB2B2B2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1" applyNumberFormat="0" applyAlignment="0" applyProtection="0"/>
    <xf numFmtId="0" fontId="6" fillId="0" borderId="10" applyNumberFormat="0" applyFill="0" applyAlignment="0" applyProtection="0"/>
    <xf numFmtId="0" fontId="1" fillId="9" borderId="11" applyNumberFormat="0" applyFont="0" applyAlignment="0" applyProtection="0"/>
    <xf numFmtId="0" fontId="10" fillId="0" borderId="0" applyNumberFormat="0" applyFill="0" applyBorder="0" applyAlignment="0" applyProtection="0"/>
    <xf numFmtId="0" fontId="12" fillId="11" borderId="0" applyNumberFormat="0" applyBorder="0" applyAlignment="0" applyProtection="0"/>
    <xf numFmtId="0" fontId="1" fillId="12" borderId="0" applyNumberFormat="0" applyBorder="0" applyAlignment="0" applyProtection="0"/>
    <xf numFmtId="0" fontId="1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17" borderId="1" applyNumberFormat="0" applyAlignment="0" applyProtection="0"/>
    <xf numFmtId="0" fontId="12" fillId="18" borderId="0" applyNumberFormat="0" applyBorder="0" applyAlignment="0" applyProtection="0"/>
    <xf numFmtId="0" fontId="45" fillId="0" borderId="0" applyNumberFormat="0" applyFill="0" applyBorder="0" applyAlignment="0" applyProtection="0"/>
  </cellStyleXfs>
  <cellXfs count="523">
    <xf numFmtId="0" fontId="0" fillId="0" borderId="0" xfId="0"/>
    <xf numFmtId="0" fontId="0" fillId="0" borderId="0" xfId="0" applyFill="1"/>
    <xf numFmtId="0" fontId="1" fillId="0" borderId="0" xfId="3" applyFill="1" applyBorder="1" applyAlignment="1">
      <alignment horizontal="center"/>
    </xf>
    <xf numFmtId="0" fontId="0" fillId="0" borderId="0" xfId="0" applyBorder="1"/>
    <xf numFmtId="0" fontId="0" fillId="0" borderId="0" xfId="0" applyAlignment="1">
      <alignment textRotation="90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0" fillId="0" borderId="0" xfId="3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left"/>
    </xf>
    <xf numFmtId="0" fontId="1" fillId="10" borderId="0" xfId="3" applyFill="1" applyBorder="1" applyAlignment="1">
      <alignment horizontal="center"/>
    </xf>
    <xf numFmtId="0" fontId="0" fillId="10" borderId="0" xfId="4" applyFont="1" applyFill="1" applyBorder="1" applyAlignment="1">
      <alignment horizontal="center" wrapText="1"/>
    </xf>
    <xf numFmtId="0" fontId="1" fillId="10" borderId="0" xfId="5" applyFill="1" applyBorder="1" applyAlignment="1">
      <alignment horizontal="center"/>
    </xf>
    <xf numFmtId="10" fontId="0" fillId="10" borderId="0" xfId="9" applyNumberFormat="1" applyFont="1" applyFill="1" applyBorder="1" applyAlignment="1">
      <alignment horizontal="center"/>
    </xf>
    <xf numFmtId="0" fontId="3" fillId="10" borderId="0" xfId="2" applyFill="1" applyBorder="1" applyAlignment="1">
      <alignment wrapText="1"/>
    </xf>
    <xf numFmtId="0" fontId="0" fillId="10" borderId="0" xfId="0" applyFill="1" applyBorder="1" applyAlignment="1">
      <alignment textRotation="90"/>
    </xf>
    <xf numFmtId="0" fontId="3" fillId="0" borderId="0" xfId="2" applyFill="1" applyAlignment="1">
      <alignment textRotation="90" wrapText="1"/>
    </xf>
    <xf numFmtId="0" fontId="3" fillId="0" borderId="0" xfId="2" applyFill="1"/>
    <xf numFmtId="0" fontId="8" fillId="0" borderId="0" xfId="0" applyFont="1"/>
    <xf numFmtId="0" fontId="8" fillId="0" borderId="0" xfId="0" applyFont="1" applyAlignment="1"/>
    <xf numFmtId="2" fontId="0" fillId="0" borderId="0" xfId="0" applyNumberFormat="1" applyAlignment="1">
      <alignment horizontal="center"/>
    </xf>
    <xf numFmtId="0" fontId="1" fillId="0" borderId="0" xfId="3" applyNumberFormat="1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Fill="1"/>
    <xf numFmtId="0" fontId="1" fillId="0" borderId="0" xfId="3" applyNumberFormat="1" applyFill="1" applyBorder="1" applyAlignment="1">
      <alignment horizontal="center"/>
    </xf>
    <xf numFmtId="0" fontId="0" fillId="0" borderId="0" xfId="3" applyNumberFormat="1" applyFon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6" fillId="0" borderId="21" xfId="8" applyBorder="1" applyAlignment="1"/>
    <xf numFmtId="2" fontId="6" fillId="0" borderId="22" xfId="8" applyNumberFormat="1" applyBorder="1" applyAlignment="1"/>
    <xf numFmtId="0" fontId="6" fillId="0" borderId="7" xfId="8" applyBorder="1" applyAlignment="1"/>
    <xf numFmtId="2" fontId="6" fillId="0" borderId="21" xfId="8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1" fillId="0" borderId="0" xfId="3" applyNumberFormat="1" applyFill="1" applyBorder="1" applyAlignment="1">
      <alignment horizontal="center"/>
    </xf>
    <xf numFmtId="0" fontId="0" fillId="0" borderId="24" xfId="0" applyBorder="1" applyAlignment="1"/>
    <xf numFmtId="0" fontId="6" fillId="0" borderId="10" xfId="8" applyBorder="1" applyAlignment="1">
      <alignment horizontal="center"/>
    </xf>
    <xf numFmtId="0" fontId="13" fillId="0" borderId="0" xfId="8" applyFont="1" applyBorder="1" applyAlignment="1"/>
    <xf numFmtId="164" fontId="13" fillId="0" borderId="0" xfId="8" applyNumberFormat="1" applyFont="1" applyBorder="1" applyAlignment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/>
    <xf numFmtId="0" fontId="0" fillId="0" borderId="0" xfId="0" applyNumberFormat="1" applyAlignment="1">
      <alignment horizontal="center"/>
    </xf>
    <xf numFmtId="0" fontId="10" fillId="0" borderId="0" xfId="10"/>
    <xf numFmtId="2" fontId="0" fillId="0" borderId="0" xfId="0" applyNumberFormat="1" applyAlignment="1"/>
    <xf numFmtId="0" fontId="0" fillId="0" borderId="11" xfId="9" applyFont="1" applyFill="1"/>
    <xf numFmtId="0" fontId="11" fillId="9" borderId="11" xfId="9" applyFont="1"/>
    <xf numFmtId="0" fontId="16" fillId="9" borderId="11" xfId="9" applyFont="1"/>
    <xf numFmtId="49" fontId="7" fillId="0" borderId="0" xfId="3" applyNumberFormat="1" applyFont="1" applyFill="1" applyBorder="1" applyAlignment="1"/>
    <xf numFmtId="0" fontId="1" fillId="0" borderId="0" xfId="3" applyFill="1" applyBorder="1" applyAlignment="1">
      <alignment horizontal="left"/>
    </xf>
    <xf numFmtId="0" fontId="18" fillId="0" borderId="0" xfId="0" applyFont="1"/>
    <xf numFmtId="0" fontId="19" fillId="9" borderId="12" xfId="9" applyFont="1" applyBorder="1"/>
    <xf numFmtId="0" fontId="20" fillId="0" borderId="3" xfId="0" applyFont="1" applyBorder="1"/>
    <xf numFmtId="0" fontId="20" fillId="0" borderId="4" xfId="0" applyFont="1" applyBorder="1"/>
    <xf numFmtId="0" fontId="19" fillId="9" borderId="13" xfId="9" applyFont="1" applyBorder="1"/>
    <xf numFmtId="0" fontId="20" fillId="0" borderId="0" xfId="0" applyFont="1" applyBorder="1"/>
    <xf numFmtId="0" fontId="20" fillId="0" borderId="6" xfId="0" applyFont="1" applyBorder="1"/>
    <xf numFmtId="0" fontId="21" fillId="0" borderId="0" xfId="10" applyFont="1" applyBorder="1"/>
    <xf numFmtId="0" fontId="21" fillId="0" borderId="6" xfId="10" applyFont="1" applyBorder="1"/>
    <xf numFmtId="0" fontId="20" fillId="0" borderId="5" xfId="0" applyFont="1" applyBorder="1"/>
    <xf numFmtId="0" fontId="22" fillId="9" borderId="13" xfId="9" applyFont="1" applyBorder="1"/>
    <xf numFmtId="0" fontId="22" fillId="9" borderId="11" xfId="9" applyFont="1" applyBorder="1"/>
    <xf numFmtId="0" fontId="22" fillId="9" borderId="27" xfId="9" applyFont="1" applyBorder="1"/>
    <xf numFmtId="0" fontId="22" fillId="0" borderId="5" xfId="9" applyFont="1" applyFill="1" applyBorder="1"/>
    <xf numFmtId="0" fontId="22" fillId="9" borderId="14" xfId="9" applyFont="1" applyBorder="1"/>
    <xf numFmtId="0" fontId="20" fillId="0" borderId="8" xfId="0" applyFont="1" applyBorder="1"/>
    <xf numFmtId="0" fontId="20" fillId="0" borderId="9" xfId="0" applyFont="1" applyBorder="1"/>
    <xf numFmtId="0" fontId="23" fillId="0" borderId="0" xfId="9" applyFont="1" applyFill="1" applyBorder="1"/>
    <xf numFmtId="0" fontId="24" fillId="0" borderId="0" xfId="0" applyFont="1" applyBorder="1"/>
    <xf numFmtId="0" fontId="24" fillId="0" borderId="0" xfId="0" applyFont="1"/>
    <xf numFmtId="0" fontId="26" fillId="0" borderId="5" xfId="0" applyFont="1" applyBorder="1"/>
    <xf numFmtId="0" fontId="26" fillId="0" borderId="0" xfId="0" applyFont="1" applyBorder="1"/>
    <xf numFmtId="0" fontId="26" fillId="0" borderId="7" xfId="0" applyFont="1" applyBorder="1"/>
    <xf numFmtId="0" fontId="26" fillId="0" borderId="8" xfId="0" applyFont="1" applyBorder="1"/>
    <xf numFmtId="0" fontId="27" fillId="0" borderId="18" xfId="0" applyFont="1" applyBorder="1"/>
    <xf numFmtId="0" fontId="20" fillId="0" borderId="0" xfId="0" applyFont="1" applyFill="1"/>
    <xf numFmtId="165" fontId="20" fillId="0" borderId="0" xfId="0" applyNumberFormat="1" applyFont="1" applyFill="1" applyAlignment="1">
      <alignment horizontal="center"/>
    </xf>
    <xf numFmtId="0" fontId="20" fillId="0" borderId="0" xfId="0" applyFont="1" applyFill="1" applyAlignment="1">
      <alignment horizontal="center"/>
    </xf>
    <xf numFmtId="0" fontId="18" fillId="0" borderId="0" xfId="3" applyFont="1" applyFill="1" applyBorder="1" applyAlignment="1">
      <alignment horizontal="center" textRotation="90"/>
    </xf>
    <xf numFmtId="49" fontId="18" fillId="0" borderId="0" xfId="3" applyNumberFormat="1" applyFont="1" applyFill="1" applyBorder="1" applyAlignment="1">
      <alignment horizontal="center" textRotation="90"/>
    </xf>
    <xf numFmtId="0" fontId="18" fillId="0" borderId="0" xfId="3" applyFont="1" applyFill="1" applyBorder="1" applyAlignment="1">
      <alignment horizontal="center"/>
    </xf>
    <xf numFmtId="0" fontId="14" fillId="0" borderId="0" xfId="3" applyFont="1" applyFill="1" applyBorder="1" applyAlignment="1">
      <alignment horizontal="center"/>
    </xf>
    <xf numFmtId="0" fontId="14" fillId="0" borderId="0" xfId="0" applyFont="1" applyFill="1"/>
    <xf numFmtId="0" fontId="14" fillId="0" borderId="0" xfId="0" applyFont="1"/>
    <xf numFmtId="0" fontId="28" fillId="0" borderId="0" xfId="3" applyFont="1" applyFill="1" applyBorder="1" applyAlignment="1">
      <alignment horizontal="center" textRotation="90"/>
    </xf>
    <xf numFmtId="49" fontId="28" fillId="0" borderId="0" xfId="3" applyNumberFormat="1" applyFont="1" applyFill="1" applyBorder="1" applyAlignment="1">
      <alignment horizontal="center" textRotation="90"/>
    </xf>
    <xf numFmtId="0" fontId="28" fillId="0" borderId="0" xfId="3" applyFont="1" applyFill="1" applyBorder="1" applyAlignment="1">
      <alignment horizontal="center"/>
    </xf>
    <xf numFmtId="0" fontId="29" fillId="0" borderId="0" xfId="3" applyFont="1" applyFill="1" applyBorder="1" applyAlignment="1">
      <alignment horizontal="center"/>
    </xf>
    <xf numFmtId="0" fontId="29" fillId="0" borderId="0" xfId="0" applyFont="1" applyFill="1"/>
    <xf numFmtId="0" fontId="29" fillId="0" borderId="0" xfId="0" applyFont="1"/>
    <xf numFmtId="0" fontId="30" fillId="0" borderId="0" xfId="0" applyFont="1" applyFill="1"/>
    <xf numFmtId="0" fontId="30" fillId="0" borderId="0" xfId="0" applyFont="1"/>
    <xf numFmtId="0" fontId="20" fillId="0" borderId="0" xfId="3" applyNumberFormat="1" applyFont="1" applyFill="1" applyBorder="1" applyAlignment="1">
      <alignment horizontal="left"/>
    </xf>
    <xf numFmtId="164" fontId="20" fillId="0" borderId="0" xfId="3" applyNumberFormat="1" applyFont="1" applyFill="1" applyBorder="1" applyAlignment="1">
      <alignment horizontal="center"/>
    </xf>
    <xf numFmtId="165" fontId="20" fillId="0" borderId="0" xfId="3" applyNumberFormat="1" applyFont="1" applyFill="1" applyBorder="1" applyAlignment="1">
      <alignment horizontal="center"/>
    </xf>
    <xf numFmtId="2" fontId="20" fillId="0" borderId="0" xfId="3" applyNumberFormat="1" applyFont="1" applyFill="1" applyBorder="1" applyAlignment="1">
      <alignment horizontal="center"/>
    </xf>
    <xf numFmtId="0" fontId="11" fillId="0" borderId="26" xfId="9" applyFont="1" applyFill="1" applyBorder="1"/>
    <xf numFmtId="0" fontId="16" fillId="0" borderId="26" xfId="9" applyFont="1" applyFill="1" applyBorder="1"/>
    <xf numFmtId="49" fontId="26" fillId="10" borderId="37" xfId="3" applyNumberFormat="1" applyFont="1" applyFill="1" applyBorder="1" applyAlignment="1">
      <alignment horizontal="center" wrapText="1"/>
    </xf>
    <xf numFmtId="49" fontId="26" fillId="10" borderId="38" xfId="3" applyNumberFormat="1" applyFont="1" applyFill="1" applyBorder="1" applyAlignment="1">
      <alignment horizontal="center" vertical="center" textRotation="90" wrapText="1"/>
    </xf>
    <xf numFmtId="49" fontId="31" fillId="0" borderId="0" xfId="3" applyNumberFormat="1" applyFont="1" applyFill="1" applyBorder="1" applyAlignment="1">
      <alignment horizontal="left"/>
    </xf>
    <xf numFmtId="0" fontId="31" fillId="0" borderId="0" xfId="3" applyFont="1" applyFill="1" applyBorder="1" applyAlignment="1">
      <alignment horizontal="center" textRotation="90"/>
    </xf>
    <xf numFmtId="49" fontId="31" fillId="0" borderId="0" xfId="3" applyNumberFormat="1" applyFont="1" applyFill="1" applyBorder="1" applyAlignment="1">
      <alignment horizontal="center" textRotation="90"/>
    </xf>
    <xf numFmtId="0" fontId="31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16" fillId="0" borderId="0" xfId="0" applyFont="1" applyFill="1"/>
    <xf numFmtId="0" fontId="17" fillId="16" borderId="18" xfId="1" applyFont="1" applyFill="1" applyBorder="1" applyAlignment="1">
      <alignment horizontal="center"/>
    </xf>
    <xf numFmtId="49" fontId="11" fillId="16" borderId="2" xfId="3" applyNumberFormat="1" applyFont="1" applyFill="1" applyBorder="1" applyAlignment="1">
      <alignment horizontal="center"/>
    </xf>
    <xf numFmtId="0" fontId="11" fillId="16" borderId="3" xfId="3" applyFont="1" applyFill="1" applyBorder="1" applyAlignment="1">
      <alignment horizontal="center"/>
    </xf>
    <xf numFmtId="0" fontId="17" fillId="16" borderId="2" xfId="1" applyFont="1" applyFill="1" applyBorder="1" applyAlignment="1">
      <alignment horizontal="center"/>
    </xf>
    <xf numFmtId="0" fontId="17" fillId="16" borderId="3" xfId="1" applyFont="1" applyFill="1" applyBorder="1" applyAlignment="1">
      <alignment horizontal="center"/>
    </xf>
    <xf numFmtId="164" fontId="26" fillId="0" borderId="37" xfId="3" applyNumberFormat="1" applyFont="1" applyFill="1" applyBorder="1" applyAlignment="1">
      <alignment horizontal="center" vertical="center" wrapText="1"/>
    </xf>
    <xf numFmtId="164" fontId="26" fillId="0" borderId="38" xfId="3" applyNumberFormat="1" applyFont="1" applyFill="1" applyBorder="1" applyAlignment="1">
      <alignment horizontal="center" vertical="center" textRotation="90" wrapText="1"/>
    </xf>
    <xf numFmtId="164" fontId="26" fillId="16" borderId="38" xfId="3" applyNumberFormat="1" applyFont="1" applyFill="1" applyBorder="1" applyAlignment="1">
      <alignment horizontal="center" vertical="center" textRotation="90" wrapText="1"/>
    </xf>
    <xf numFmtId="0" fontId="26" fillId="0" borderId="38" xfId="3" applyFont="1" applyFill="1" applyBorder="1" applyAlignment="1">
      <alignment horizontal="center" vertical="center" textRotation="90" wrapText="1"/>
    </xf>
    <xf numFmtId="0" fontId="26" fillId="0" borderId="39" xfId="3" applyFont="1" applyFill="1" applyBorder="1" applyAlignment="1">
      <alignment horizontal="center" vertical="center" textRotation="90" wrapText="1"/>
    </xf>
    <xf numFmtId="0" fontId="17" fillId="16" borderId="4" xfId="1" applyFont="1" applyFill="1" applyBorder="1" applyAlignment="1">
      <alignment horizontal="center"/>
    </xf>
    <xf numFmtId="0" fontId="14" fillId="0" borderId="0" xfId="3" applyNumberFormat="1" applyFont="1" applyFill="1" applyBorder="1" applyAlignment="1">
      <alignment horizontal="center" textRotation="90"/>
    </xf>
    <xf numFmtId="0" fontId="14" fillId="0" borderId="0" xfId="0" applyNumberFormat="1" applyFont="1" applyFill="1"/>
    <xf numFmtId="165" fontId="20" fillId="0" borderId="0" xfId="0" applyNumberFormat="1" applyFont="1" applyAlignment="1">
      <alignment horizontal="center"/>
    </xf>
    <xf numFmtId="0" fontId="20" fillId="0" borderId="0" xfId="3" applyNumberFormat="1" applyFont="1" applyFill="1" applyBorder="1" applyAlignment="1">
      <alignment horizontal="center"/>
    </xf>
    <xf numFmtId="0" fontId="17" fillId="16" borderId="36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center" vertical="center" wrapText="1"/>
    </xf>
    <xf numFmtId="0" fontId="26" fillId="0" borderId="38" xfId="3" applyNumberFormat="1" applyFont="1" applyFill="1" applyBorder="1" applyAlignment="1">
      <alignment horizontal="center" vertical="center" textRotation="90" wrapText="1"/>
    </xf>
    <xf numFmtId="0" fontId="26" fillId="0" borderId="38" xfId="0" applyFont="1" applyBorder="1" applyAlignment="1">
      <alignment horizontal="center" vertical="center" textRotation="90" wrapText="1"/>
    </xf>
    <xf numFmtId="0" fontId="26" fillId="16" borderId="38" xfId="3" applyNumberFormat="1" applyFont="1" applyFill="1" applyBorder="1" applyAlignment="1">
      <alignment horizontal="center" vertical="center" textRotation="90" wrapText="1"/>
    </xf>
    <xf numFmtId="0" fontId="30" fillId="0" borderId="0" xfId="3" applyFont="1" applyFill="1" applyBorder="1" applyAlignment="1">
      <alignment horizontal="center" textRotation="90"/>
    </xf>
    <xf numFmtId="0" fontId="32" fillId="0" borderId="0" xfId="3" applyFont="1" applyFill="1" applyBorder="1" applyAlignment="1">
      <alignment textRotation="90"/>
    </xf>
    <xf numFmtId="0" fontId="0" fillId="16" borderId="3" xfId="0" applyFill="1" applyBorder="1"/>
    <xf numFmtId="0" fontId="17" fillId="16" borderId="2" xfId="1" applyFont="1" applyFill="1" applyBorder="1" applyAlignment="1">
      <alignment horizontal="left"/>
    </xf>
    <xf numFmtId="0" fontId="26" fillId="0" borderId="37" xfId="3" applyNumberFormat="1" applyFont="1" applyFill="1" applyBorder="1" applyAlignment="1">
      <alignment horizontal="left" vertical="center" wrapText="1"/>
    </xf>
    <xf numFmtId="0" fontId="26" fillId="16" borderId="38" xfId="3" applyFont="1" applyFill="1" applyBorder="1" applyAlignment="1">
      <alignment horizontal="center" vertical="center" textRotation="90" wrapText="1"/>
    </xf>
    <xf numFmtId="164" fontId="20" fillId="0" borderId="0" xfId="3" applyNumberFormat="1" applyFont="1" applyFill="1" applyBorder="1" applyAlignment="1"/>
    <xf numFmtId="165" fontId="26" fillId="0" borderId="0" xfId="3" applyNumberFormat="1" applyFont="1" applyFill="1" applyBorder="1" applyAlignment="1">
      <alignment horizontal="center"/>
    </xf>
    <xf numFmtId="0" fontId="20" fillId="0" borderId="0" xfId="3" applyFont="1" applyFill="1" applyBorder="1" applyAlignment="1">
      <alignment horizontal="center"/>
    </xf>
    <xf numFmtId="0" fontId="33" fillId="0" borderId="3" xfId="0" applyFont="1" applyBorder="1"/>
    <xf numFmtId="0" fontId="33" fillId="0" borderId="2" xfId="0" applyFont="1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33" fillId="0" borderId="8" xfId="0" applyFont="1" applyBorder="1"/>
    <xf numFmtId="0" fontId="33" fillId="0" borderId="7" xfId="0" applyFont="1" applyBorder="1" applyAlignment="1">
      <alignment horizontal="center"/>
    </xf>
    <xf numFmtId="49" fontId="34" fillId="0" borderId="0" xfId="3" applyNumberFormat="1" applyFont="1" applyFill="1" applyBorder="1" applyAlignment="1">
      <alignment horizontal="left"/>
    </xf>
    <xf numFmtId="0" fontId="34" fillId="0" borderId="0" xfId="3" applyFont="1" applyFill="1" applyBorder="1" applyAlignment="1">
      <alignment horizontal="center" textRotation="90"/>
    </xf>
    <xf numFmtId="49" fontId="34" fillId="0" borderId="0" xfId="3" applyNumberFormat="1" applyFont="1" applyFill="1" applyBorder="1" applyAlignment="1">
      <alignment horizontal="center" textRotation="90"/>
    </xf>
    <xf numFmtId="0" fontId="34" fillId="0" borderId="0" xfId="3" applyFont="1" applyFill="1" applyBorder="1" applyAlignment="1">
      <alignment horizontal="center"/>
    </xf>
    <xf numFmtId="0" fontId="35" fillId="0" borderId="0" xfId="3" applyFont="1" applyFill="1" applyBorder="1" applyAlignment="1">
      <alignment horizontal="center"/>
    </xf>
    <xf numFmtId="0" fontId="35" fillId="0" borderId="0" xfId="3" applyNumberFormat="1" applyFont="1" applyFill="1" applyBorder="1" applyAlignment="1">
      <alignment horizontal="center" textRotation="90"/>
    </xf>
    <xf numFmtId="0" fontId="35" fillId="0" borderId="0" xfId="0" applyNumberFormat="1" applyFont="1" applyFill="1"/>
    <xf numFmtId="49" fontId="34" fillId="0" borderId="0" xfId="3" applyNumberFormat="1" applyFont="1" applyFill="1" applyBorder="1" applyAlignment="1"/>
    <xf numFmtId="0" fontId="35" fillId="0" borderId="0" xfId="3" applyNumberFormat="1" applyFont="1" applyFill="1" applyBorder="1" applyAlignment="1">
      <alignment textRotation="90"/>
    </xf>
    <xf numFmtId="0" fontId="35" fillId="0" borderId="0" xfId="3" applyFont="1" applyFill="1" applyBorder="1" applyAlignment="1">
      <alignment textRotation="90"/>
    </xf>
    <xf numFmtId="0" fontId="34" fillId="0" borderId="0" xfId="3" applyFont="1" applyFill="1" applyBorder="1" applyAlignment="1"/>
    <xf numFmtId="0" fontId="34" fillId="0" borderId="0" xfId="3" applyFont="1" applyFill="1" applyBorder="1" applyAlignment="1">
      <alignment textRotation="90"/>
    </xf>
    <xf numFmtId="165" fontId="20" fillId="0" borderId="0" xfId="3" applyNumberFormat="1" applyFont="1" applyFill="1" applyBorder="1" applyAlignment="1" applyProtection="1">
      <alignment horizontal="center"/>
      <protection locked="0"/>
    </xf>
    <xf numFmtId="1" fontId="25" fillId="16" borderId="40" xfId="7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0" fontId="4" fillId="7" borderId="3" xfId="6" applyBorder="1"/>
    <xf numFmtId="0" fontId="4" fillId="7" borderId="4" xfId="6" applyBorder="1"/>
    <xf numFmtId="0" fontId="4" fillId="7" borderId="5" xfId="6" applyBorder="1"/>
    <xf numFmtId="0" fontId="4" fillId="7" borderId="0" xfId="6" applyBorder="1"/>
    <xf numFmtId="0" fontId="4" fillId="7" borderId="6" xfId="6" applyBorder="1"/>
    <xf numFmtId="0" fontId="4" fillId="7" borderId="8" xfId="6" applyBorder="1"/>
    <xf numFmtId="0" fontId="2" fillId="2" borderId="3" xfId="1" applyBorder="1" applyProtection="1">
      <protection locked="0"/>
    </xf>
    <xf numFmtId="0" fontId="2" fillId="2" borderId="4" xfId="1" applyBorder="1" applyProtection="1">
      <protection locked="0"/>
    </xf>
    <xf numFmtId="0" fontId="2" fillId="2" borderId="5" xfId="1" applyBorder="1" applyProtection="1">
      <protection locked="0"/>
    </xf>
    <xf numFmtId="0" fontId="2" fillId="2" borderId="0" xfId="1" applyBorder="1" applyProtection="1">
      <protection locked="0"/>
    </xf>
    <xf numFmtId="0" fontId="2" fillId="2" borderId="6" xfId="1" applyBorder="1" applyProtection="1">
      <protection locked="0"/>
    </xf>
    <xf numFmtId="0" fontId="2" fillId="2" borderId="7" xfId="1" applyBorder="1" applyProtection="1">
      <protection locked="0"/>
    </xf>
    <xf numFmtId="0" fontId="2" fillId="2" borderId="8" xfId="1" applyBorder="1" applyProtection="1">
      <protection locked="0"/>
    </xf>
    <xf numFmtId="0" fontId="2" fillId="2" borderId="9" xfId="1" applyBorder="1" applyProtection="1">
      <protection locked="0"/>
    </xf>
    <xf numFmtId="0" fontId="1" fillId="6" borderId="5" xfId="5" applyBorder="1" applyProtection="1">
      <protection locked="0"/>
    </xf>
    <xf numFmtId="0" fontId="1" fillId="6" borderId="0" xfId="5" applyBorder="1" applyProtection="1">
      <protection locked="0"/>
    </xf>
    <xf numFmtId="0" fontId="1" fillId="6" borderId="6" xfId="5" applyBorder="1" applyProtection="1">
      <protection locked="0"/>
    </xf>
    <xf numFmtId="0" fontId="1" fillId="12" borderId="5" xfId="12" applyBorder="1" applyProtection="1">
      <protection locked="0"/>
    </xf>
    <xf numFmtId="0" fontId="1" fillId="12" borderId="0" xfId="12" applyBorder="1" applyProtection="1">
      <protection locked="0"/>
    </xf>
    <xf numFmtId="0" fontId="1" fillId="12" borderId="6" xfId="12" applyBorder="1" applyProtection="1">
      <protection locked="0"/>
    </xf>
    <xf numFmtId="0" fontId="12" fillId="13" borderId="5" xfId="13" applyBorder="1" applyProtection="1">
      <protection locked="0"/>
    </xf>
    <xf numFmtId="0" fontId="12" fillId="13" borderId="0" xfId="13" applyBorder="1" applyProtection="1">
      <protection locked="0"/>
    </xf>
    <xf numFmtId="0" fontId="12" fillId="13" borderId="6" xfId="13" applyBorder="1" applyProtection="1">
      <protection locked="0"/>
    </xf>
    <xf numFmtId="0" fontId="12" fillId="11" borderId="5" xfId="11" applyBorder="1" applyProtection="1">
      <protection locked="0"/>
    </xf>
    <xf numFmtId="0" fontId="12" fillId="11" borderId="0" xfId="11" applyBorder="1" applyProtection="1">
      <protection locked="0"/>
    </xf>
    <xf numFmtId="0" fontId="12" fillId="11" borderId="6" xfId="11" applyBorder="1" applyProtection="1">
      <protection locked="0"/>
    </xf>
    <xf numFmtId="0" fontId="0" fillId="0" borderId="0" xfId="0" applyProtection="1"/>
    <xf numFmtId="0" fontId="12" fillId="11" borderId="3" xfId="11" applyBorder="1" applyProtection="1"/>
    <xf numFmtId="0" fontId="12" fillId="11" borderId="4" xfId="11" applyBorder="1" applyProtection="1"/>
    <xf numFmtId="0" fontId="12" fillId="11" borderId="0" xfId="11" applyBorder="1" applyProtection="1"/>
    <xf numFmtId="0" fontId="12" fillId="11" borderId="6" xfId="11" applyBorder="1" applyProtection="1"/>
    <xf numFmtId="0" fontId="1" fillId="12" borderId="3" xfId="12" applyBorder="1" applyProtection="1"/>
    <xf numFmtId="0" fontId="1" fillId="12" borderId="4" xfId="12" applyBorder="1" applyProtection="1"/>
    <xf numFmtId="0" fontId="1" fillId="12" borderId="0" xfId="12" applyBorder="1" applyProtection="1"/>
    <xf numFmtId="0" fontId="1" fillId="12" borderId="6" xfId="12" applyBorder="1" applyProtection="1"/>
    <xf numFmtId="0" fontId="2" fillId="2" borderId="3" xfId="1" applyBorder="1" applyProtection="1"/>
    <xf numFmtId="0" fontId="2" fillId="2" borderId="4" xfId="1" applyBorder="1" applyProtection="1"/>
    <xf numFmtId="0" fontId="2" fillId="2" borderId="0" xfId="1" applyBorder="1" applyProtection="1"/>
    <xf numFmtId="0" fontId="2" fillId="2" borderId="6" xfId="1" applyBorder="1" applyProtection="1"/>
    <xf numFmtId="0" fontId="0" fillId="9" borderId="64" xfId="9" applyFont="1" applyBorder="1" applyProtection="1"/>
    <xf numFmtId="0" fontId="0" fillId="9" borderId="65" xfId="9" applyFont="1" applyBorder="1" applyProtection="1"/>
    <xf numFmtId="0" fontId="10" fillId="6" borderId="47" xfId="10" applyFill="1" applyBorder="1" applyProtection="1">
      <protection locked="0"/>
    </xf>
    <xf numFmtId="0" fontId="10" fillId="6" borderId="51" xfId="10" applyFill="1" applyBorder="1" applyProtection="1">
      <protection locked="0"/>
    </xf>
    <xf numFmtId="0" fontId="10" fillId="6" borderId="48" xfId="10" applyFill="1" applyBorder="1" applyProtection="1">
      <protection locked="0"/>
    </xf>
    <xf numFmtId="0" fontId="0" fillId="9" borderId="2" xfId="9" applyFont="1" applyBorder="1" applyProtection="1"/>
    <xf numFmtId="0" fontId="1" fillId="9" borderId="4" xfId="9" applyBorder="1" applyProtection="1"/>
    <xf numFmtId="0" fontId="0" fillId="9" borderId="7" xfId="9" applyFont="1" applyBorder="1" applyProtection="1"/>
    <xf numFmtId="0" fontId="0" fillId="9" borderId="8" xfId="9" applyFont="1" applyBorder="1" applyAlignment="1" applyProtection="1">
      <alignment horizontal="center"/>
    </xf>
    <xf numFmtId="0" fontId="1" fillId="9" borderId="9" xfId="9" applyBorder="1" applyProtection="1"/>
    <xf numFmtId="0" fontId="0" fillId="9" borderId="12" xfId="9" applyFont="1" applyBorder="1" applyProtection="1"/>
    <xf numFmtId="0" fontId="0" fillId="9" borderId="3" xfId="9" applyFont="1" applyBorder="1" applyAlignment="1" applyProtection="1">
      <alignment horizontal="center"/>
    </xf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5" xfId="0" applyFont="1" applyBorder="1"/>
    <xf numFmtId="0" fontId="11" fillId="0" borderId="0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9" borderId="11" xfId="9" applyFont="1"/>
    <xf numFmtId="0" fontId="17" fillId="2" borderId="2" xfId="1" applyFont="1" applyBorder="1" applyProtection="1">
      <protection locked="0"/>
    </xf>
    <xf numFmtId="0" fontId="1" fillId="12" borderId="8" xfId="12" applyBorder="1" applyProtection="1"/>
    <xf numFmtId="0" fontId="1" fillId="12" borderId="9" xfId="12" applyBorder="1" applyProtection="1"/>
    <xf numFmtId="0" fontId="42" fillId="7" borderId="7" xfId="6" applyFont="1" applyBorder="1"/>
    <xf numFmtId="0" fontId="42" fillId="7" borderId="3" xfId="6" applyFont="1" applyBorder="1"/>
    <xf numFmtId="0" fontId="17" fillId="2" borderId="3" xfId="1" applyFont="1" applyBorder="1" applyProtection="1"/>
    <xf numFmtId="0" fontId="17" fillId="2" borderId="7" xfId="1" applyFont="1" applyBorder="1" applyProtection="1"/>
    <xf numFmtId="0" fontId="1" fillId="6" borderId="3" xfId="5" applyBorder="1" applyProtection="1"/>
    <xf numFmtId="0" fontId="11" fillId="6" borderId="3" xfId="5" applyFont="1" applyBorder="1" applyProtection="1"/>
    <xf numFmtId="0" fontId="1" fillId="6" borderId="4" xfId="5" applyBorder="1" applyProtection="1"/>
    <xf numFmtId="0" fontId="1" fillId="6" borderId="0" xfId="5" applyBorder="1" applyProtection="1"/>
    <xf numFmtId="0" fontId="1" fillId="6" borderId="6" xfId="5" applyBorder="1" applyProtection="1"/>
    <xf numFmtId="0" fontId="1" fillId="6" borderId="8" xfId="5" applyBorder="1" applyProtection="1"/>
    <xf numFmtId="0" fontId="1" fillId="6" borderId="9" xfId="5" applyBorder="1" applyProtection="1"/>
    <xf numFmtId="0" fontId="11" fillId="12" borderId="3" xfId="12" applyFont="1" applyBorder="1" applyProtection="1"/>
    <xf numFmtId="0" fontId="43" fillId="0" borderId="0" xfId="0" applyFont="1"/>
    <xf numFmtId="0" fontId="31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/>
    <xf numFmtId="0" fontId="20" fillId="9" borderId="2" xfId="9" applyFont="1" applyBorder="1" applyProtection="1"/>
    <xf numFmtId="0" fontId="20" fillId="9" borderId="4" xfId="9" applyFont="1" applyBorder="1" applyProtection="1"/>
    <xf numFmtId="0" fontId="20" fillId="9" borderId="7" xfId="9" applyFont="1" applyBorder="1" applyProtection="1"/>
    <xf numFmtId="0" fontId="20" fillId="9" borderId="8" xfId="9" applyFont="1" applyBorder="1" applyAlignment="1" applyProtection="1">
      <alignment horizontal="center"/>
    </xf>
    <xf numFmtId="0" fontId="20" fillId="9" borderId="9" xfId="9" applyFont="1" applyBorder="1" applyProtection="1"/>
    <xf numFmtId="0" fontId="1" fillId="9" borderId="3" xfId="9" applyFont="1" applyBorder="1" applyAlignment="1" applyProtection="1">
      <alignment horizontal="center"/>
    </xf>
    <xf numFmtId="0" fontId="1" fillId="9" borderId="2" xfId="9" applyFont="1" applyBorder="1" applyProtection="1"/>
    <xf numFmtId="0" fontId="1" fillId="9" borderId="4" xfId="9" applyFont="1" applyBorder="1" applyProtection="1"/>
    <xf numFmtId="0" fontId="11" fillId="6" borderId="7" xfId="5" applyFont="1" applyBorder="1" applyProtection="1"/>
    <xf numFmtId="0" fontId="11" fillId="12" borderId="7" xfId="12" applyFont="1" applyBorder="1" applyProtection="1"/>
    <xf numFmtId="0" fontId="0" fillId="0" borderId="0" xfId="0" applyFill="1" applyBorder="1"/>
    <xf numFmtId="10" fontId="20" fillId="0" borderId="0" xfId="0" applyNumberFormat="1" applyFont="1" applyBorder="1" applyAlignment="1">
      <alignment horizontal="center"/>
    </xf>
    <xf numFmtId="0" fontId="27" fillId="9" borderId="11" xfId="9" applyFont="1"/>
    <xf numFmtId="0" fontId="48" fillId="17" borderId="0" xfId="18" applyFont="1" applyBorder="1" applyProtection="1"/>
    <xf numFmtId="0" fontId="47" fillId="17" borderId="0" xfId="18" applyBorder="1" applyProtection="1">
      <protection locked="0"/>
    </xf>
    <xf numFmtId="0" fontId="48" fillId="17" borderId="3" xfId="18" applyFont="1" applyBorder="1" applyProtection="1"/>
    <xf numFmtId="0" fontId="48" fillId="17" borderId="4" xfId="18" applyFont="1" applyBorder="1" applyProtection="1"/>
    <xf numFmtId="0" fontId="48" fillId="17" borderId="5" xfId="18" applyFont="1" applyBorder="1" applyProtection="1"/>
    <xf numFmtId="0" fontId="48" fillId="17" borderId="6" xfId="18" applyFont="1" applyBorder="1" applyProtection="1"/>
    <xf numFmtId="0" fontId="48" fillId="17" borderId="7" xfId="18" applyFont="1" applyBorder="1" applyProtection="1"/>
    <xf numFmtId="0" fontId="48" fillId="17" borderId="8" xfId="18" applyFont="1" applyBorder="1" applyProtection="1"/>
    <xf numFmtId="0" fontId="48" fillId="17" borderId="9" xfId="18" applyFont="1" applyBorder="1" applyProtection="1"/>
    <xf numFmtId="0" fontId="47" fillId="17" borderId="2" xfId="18" applyBorder="1" applyProtection="1">
      <protection locked="0"/>
    </xf>
    <xf numFmtId="0" fontId="47" fillId="17" borderId="3" xfId="18" applyBorder="1" applyProtection="1">
      <protection locked="0"/>
    </xf>
    <xf numFmtId="0" fontId="47" fillId="17" borderId="4" xfId="18" applyBorder="1" applyProtection="1">
      <protection locked="0"/>
    </xf>
    <xf numFmtId="0" fontId="47" fillId="17" borderId="5" xfId="18" applyBorder="1" applyProtection="1">
      <protection locked="0"/>
    </xf>
    <xf numFmtId="0" fontId="47" fillId="17" borderId="6" xfId="18" applyBorder="1" applyProtection="1">
      <protection locked="0"/>
    </xf>
    <xf numFmtId="0" fontId="47" fillId="17" borderId="7" xfId="18" applyBorder="1" applyProtection="1">
      <protection locked="0"/>
    </xf>
    <xf numFmtId="0" fontId="47" fillId="17" borderId="8" xfId="18" applyBorder="1" applyProtection="1">
      <protection locked="0"/>
    </xf>
    <xf numFmtId="0" fontId="47" fillId="17" borderId="9" xfId="18" applyBorder="1" applyProtection="1">
      <protection locked="0"/>
    </xf>
    <xf numFmtId="0" fontId="1" fillId="6" borderId="0" xfId="5" applyNumberFormat="1" applyBorder="1" applyAlignment="1">
      <alignment textRotation="90"/>
    </xf>
    <xf numFmtId="0" fontId="1" fillId="6" borderId="0" xfId="5" applyBorder="1" applyAlignment="1">
      <alignment textRotation="90"/>
    </xf>
    <xf numFmtId="0" fontId="1" fillId="6" borderId="0" xfId="5" applyBorder="1" applyAlignment="1"/>
    <xf numFmtId="0" fontId="11" fillId="6" borderId="0" xfId="5" applyNumberFormat="1" applyFont="1" applyAlignment="1"/>
    <xf numFmtId="0" fontId="16" fillId="9" borderId="11" xfId="9" applyFont="1" applyAlignment="1">
      <alignment horizontal="left"/>
    </xf>
    <xf numFmtId="0" fontId="18" fillId="9" borderId="11" xfId="9" applyFont="1"/>
    <xf numFmtId="0" fontId="0" fillId="0" borderId="18" xfId="0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26" fillId="0" borderId="39" xfId="3" applyNumberFormat="1" applyFont="1" applyFill="1" applyBorder="1" applyAlignment="1">
      <alignment horizontal="center" vertical="center" textRotation="90" wrapText="1"/>
    </xf>
    <xf numFmtId="0" fontId="0" fillId="16" borderId="3" xfId="3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0" fillId="0" borderId="30" xfId="0" applyFill="1" applyBorder="1" applyAlignment="1">
      <alignment vertical="center"/>
    </xf>
    <xf numFmtId="49" fontId="26" fillId="10" borderId="39" xfId="3" applyNumberFormat="1" applyFont="1" applyFill="1" applyBorder="1" applyAlignment="1">
      <alignment horizontal="center" vertical="center" textRotation="90" wrapText="1"/>
    </xf>
    <xf numFmtId="165" fontId="15" fillId="0" borderId="18" xfId="0" applyNumberFormat="1" applyFont="1" applyFill="1" applyBorder="1" applyAlignment="1">
      <alignment vertical="center"/>
    </xf>
    <xf numFmtId="0" fontId="13" fillId="0" borderId="30" xfId="8" applyFont="1" applyBorder="1" applyAlignment="1">
      <alignment horizontal="center" vertical="center" textRotation="90" wrapText="1"/>
    </xf>
    <xf numFmtId="0" fontId="13" fillId="0" borderId="36" xfId="0" applyFont="1" applyBorder="1" applyAlignment="1">
      <alignment horizontal="center" vertical="center" textRotation="90" wrapText="1"/>
    </xf>
    <xf numFmtId="0" fontId="13" fillId="0" borderId="18" xfId="0" applyFont="1" applyBorder="1" applyAlignment="1">
      <alignment horizontal="center" vertical="center" textRotation="90" wrapText="1"/>
    </xf>
    <xf numFmtId="0" fontId="13" fillId="0" borderId="30" xfId="0" applyFont="1" applyBorder="1" applyAlignment="1">
      <alignment horizontal="center" vertical="center" textRotation="90" wrapText="1"/>
    </xf>
    <xf numFmtId="0" fontId="13" fillId="0" borderId="69" xfId="0" applyFont="1" applyBorder="1" applyAlignment="1">
      <alignment horizontal="center" vertical="center" textRotation="90" wrapText="1"/>
    </xf>
    <xf numFmtId="0" fontId="35" fillId="9" borderId="11" xfId="9" applyFont="1" applyAlignment="1">
      <alignment horizontal="center"/>
    </xf>
    <xf numFmtId="0" fontId="29" fillId="9" borderId="11" xfId="9" applyFont="1" applyAlignment="1">
      <alignment horizontal="center"/>
    </xf>
    <xf numFmtId="0" fontId="49" fillId="17" borderId="2" xfId="18" applyFont="1" applyBorder="1" applyProtection="1"/>
    <xf numFmtId="0" fontId="49" fillId="17" borderId="3" xfId="18" applyFont="1" applyBorder="1" applyProtection="1"/>
    <xf numFmtId="0" fontId="50" fillId="2" borderId="2" xfId="1" applyFont="1" applyBorder="1" applyProtection="1"/>
    <xf numFmtId="0" fontId="50" fillId="2" borderId="3" xfId="1" applyFont="1" applyBorder="1" applyProtection="1"/>
    <xf numFmtId="0" fontId="50" fillId="2" borderId="5" xfId="1" applyFont="1" applyBorder="1" applyProtection="1"/>
    <xf numFmtId="0" fontId="51" fillId="2" borderId="0" xfId="1" applyFont="1" applyBorder="1" applyProtection="1"/>
    <xf numFmtId="0" fontId="52" fillId="6" borderId="2" xfId="5" applyFont="1" applyBorder="1" applyProtection="1"/>
    <xf numFmtId="0" fontId="32" fillId="6" borderId="3" xfId="5" applyFont="1" applyBorder="1" applyProtection="1"/>
    <xf numFmtId="0" fontId="52" fillId="6" borderId="5" xfId="5" applyFont="1" applyBorder="1" applyProtection="1"/>
    <xf numFmtId="0" fontId="32" fillId="6" borderId="0" xfId="5" applyFont="1" applyBorder="1" applyProtection="1"/>
    <xf numFmtId="0" fontId="32" fillId="12" borderId="3" xfId="12" applyFont="1" applyBorder="1" applyProtection="1"/>
    <xf numFmtId="0" fontId="52" fillId="12" borderId="5" xfId="12" applyFont="1" applyBorder="1" applyProtection="1"/>
    <xf numFmtId="0" fontId="32" fillId="12" borderId="0" xfId="12" applyFont="1" applyBorder="1" applyProtection="1"/>
    <xf numFmtId="0" fontId="53" fillId="7" borderId="2" xfId="6" applyFont="1" applyBorder="1"/>
    <xf numFmtId="0" fontId="53" fillId="7" borderId="5" xfId="6" applyFont="1" applyBorder="1"/>
    <xf numFmtId="0" fontId="42" fillId="7" borderId="0" xfId="6" applyFont="1" applyBorder="1"/>
    <xf numFmtId="0" fontId="54" fillId="13" borderId="2" xfId="13" applyFont="1" applyBorder="1" applyProtection="1"/>
    <xf numFmtId="0" fontId="54" fillId="13" borderId="3" xfId="13" applyFont="1" applyBorder="1" applyProtection="1"/>
    <xf numFmtId="0" fontId="13" fillId="13" borderId="3" xfId="13" applyFont="1" applyBorder="1" applyProtection="1"/>
    <xf numFmtId="0" fontId="55" fillId="13" borderId="3" xfId="13" applyFont="1" applyBorder="1" applyProtection="1"/>
    <xf numFmtId="0" fontId="55" fillId="13" borderId="4" xfId="13" applyFont="1" applyBorder="1" applyProtection="1"/>
    <xf numFmtId="0" fontId="55" fillId="0" borderId="0" xfId="0" applyFont="1"/>
    <xf numFmtId="0" fontId="54" fillId="11" borderId="2" xfId="11" applyFont="1" applyBorder="1" applyProtection="1"/>
    <xf numFmtId="0" fontId="55" fillId="11" borderId="3" xfId="11" applyFont="1" applyBorder="1" applyProtection="1"/>
    <xf numFmtId="0" fontId="13" fillId="11" borderId="3" xfId="11" applyFont="1" applyBorder="1" applyProtection="1"/>
    <xf numFmtId="0" fontId="54" fillId="13" borderId="5" xfId="13" applyFont="1" applyBorder="1" applyProtection="1"/>
    <xf numFmtId="0" fontId="56" fillId="13" borderId="0" xfId="13" applyFont="1" applyBorder="1" applyProtection="1"/>
    <xf numFmtId="0" fontId="55" fillId="13" borderId="0" xfId="13" applyFont="1" applyBorder="1" applyProtection="1"/>
    <xf numFmtId="0" fontId="55" fillId="13" borderId="6" xfId="13" applyFont="1" applyBorder="1" applyProtection="1"/>
    <xf numFmtId="0" fontId="54" fillId="11" borderId="5" xfId="11" applyFont="1" applyBorder="1" applyProtection="1"/>
    <xf numFmtId="0" fontId="55" fillId="11" borderId="0" xfId="11" applyFont="1" applyBorder="1" applyProtection="1"/>
    <xf numFmtId="0" fontId="13" fillId="13" borderId="7" xfId="13" applyFont="1" applyBorder="1" applyProtection="1"/>
    <xf numFmtId="0" fontId="55" fillId="13" borderId="8" xfId="13" applyFont="1" applyBorder="1" applyProtection="1"/>
    <xf numFmtId="0" fontId="13" fillId="11" borderId="7" xfId="11" applyFont="1" applyBorder="1" applyProtection="1"/>
    <xf numFmtId="0" fontId="55" fillId="11" borderId="8" xfId="11" applyFont="1" applyBorder="1" applyProtection="1"/>
    <xf numFmtId="0" fontId="52" fillId="12" borderId="2" xfId="12" applyFont="1" applyBorder="1" applyProtection="1"/>
    <xf numFmtId="0" fontId="12" fillId="11" borderId="3" xfId="11" applyBorder="1" applyProtection="1">
      <protection locked="0"/>
    </xf>
    <xf numFmtId="0" fontId="12" fillId="13" borderId="3" xfId="13" applyBorder="1" applyProtection="1">
      <protection locked="0"/>
    </xf>
    <xf numFmtId="2" fontId="57" fillId="17" borderId="0" xfId="18" applyNumberFormat="1" applyFont="1" applyBorder="1" applyProtection="1"/>
    <xf numFmtId="0" fontId="57" fillId="17" borderId="0" xfId="18" applyFont="1" applyBorder="1" applyProtection="1"/>
    <xf numFmtId="0" fontId="2" fillId="2" borderId="3" xfId="1" applyBorder="1" applyAlignment="1" applyProtection="1">
      <protection locked="0"/>
    </xf>
    <xf numFmtId="0" fontId="2" fillId="2" borderId="0" xfId="1" applyBorder="1" applyAlignment="1" applyProtection="1">
      <alignment horizontal="right"/>
    </xf>
    <xf numFmtId="0" fontId="0" fillId="12" borderId="8" xfId="12" applyFont="1" applyBorder="1" applyProtection="1"/>
    <xf numFmtId="0" fontId="1" fillId="12" borderId="8" xfId="12" applyBorder="1" applyAlignment="1" applyProtection="1">
      <alignment horizontal="right"/>
    </xf>
    <xf numFmtId="0" fontId="0" fillId="6" borderId="8" xfId="5" applyFont="1" applyBorder="1" applyProtection="1"/>
    <xf numFmtId="0" fontId="1" fillId="6" borderId="0" xfId="5" applyBorder="1" applyAlignment="1" applyProtection="1">
      <protection locked="0"/>
    </xf>
    <xf numFmtId="0" fontId="1" fillId="6" borderId="8" xfId="5" applyBorder="1" applyAlignment="1" applyProtection="1">
      <alignment horizontal="right"/>
    </xf>
    <xf numFmtId="0" fontId="55" fillId="13" borderId="8" xfId="13" applyFont="1" applyBorder="1" applyAlignment="1" applyProtection="1">
      <alignment horizontal="right"/>
    </xf>
    <xf numFmtId="0" fontId="55" fillId="11" borderId="9" xfId="11" applyFont="1" applyBorder="1" applyProtection="1"/>
    <xf numFmtId="0" fontId="55" fillId="11" borderId="8" xfId="11" applyFont="1" applyBorder="1" applyAlignment="1" applyProtection="1">
      <alignment horizontal="right"/>
    </xf>
    <xf numFmtId="0" fontId="4" fillId="7" borderId="8" xfId="6" applyBorder="1" applyAlignment="1">
      <alignment horizontal="right"/>
    </xf>
    <xf numFmtId="0" fontId="4" fillId="7" borderId="0" xfId="6" applyFont="1" applyBorder="1"/>
    <xf numFmtId="0" fontId="4" fillId="7" borderId="8" xfId="6" applyFont="1" applyBorder="1"/>
    <xf numFmtId="0" fontId="39" fillId="7" borderId="8" xfId="6" applyFont="1" applyBorder="1"/>
    <xf numFmtId="0" fontId="13" fillId="0" borderId="0" xfId="8" applyFont="1" applyBorder="1" applyAlignment="1">
      <alignment textRotation="90"/>
    </xf>
    <xf numFmtId="0" fontId="0" fillId="6" borderId="5" xfId="5" applyFont="1" applyBorder="1" applyProtection="1">
      <protection locked="0"/>
    </xf>
    <xf numFmtId="0" fontId="0" fillId="12" borderId="5" xfId="12" applyFont="1" applyBorder="1" applyProtection="1">
      <protection locked="0"/>
    </xf>
    <xf numFmtId="0" fontId="12" fillId="18" borderId="0" xfId="19" applyBorder="1" applyAlignment="1"/>
    <xf numFmtId="0" fontId="12" fillId="18" borderId="0" xfId="19" applyBorder="1" applyAlignment="1">
      <alignment textRotation="90"/>
    </xf>
    <xf numFmtId="0" fontId="12" fillId="18" borderId="0" xfId="19" applyBorder="1" applyAlignment="1">
      <alignment horizontal="center" textRotation="90"/>
    </xf>
    <xf numFmtId="0" fontId="12" fillId="18" borderId="0" xfId="19"/>
    <xf numFmtId="0" fontId="58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1"/>
    </xf>
    <xf numFmtId="0" fontId="45" fillId="0" borderId="0" xfId="20" applyAlignment="1">
      <alignment horizontal="left" vertical="center" indent="1"/>
    </xf>
    <xf numFmtId="0" fontId="26" fillId="4" borderId="15" xfId="3" applyFont="1" applyBorder="1" applyAlignment="1" applyProtection="1">
      <alignment horizontal="center" vertical="center" wrapText="1"/>
    </xf>
    <xf numFmtId="0" fontId="26" fillId="5" borderId="16" xfId="4" applyFont="1" applyBorder="1" applyAlignment="1" applyProtection="1">
      <alignment horizontal="center" vertical="center" textRotation="90" wrapText="1"/>
    </xf>
    <xf numFmtId="0" fontId="26" fillId="6" borderId="16" xfId="5" applyFont="1" applyBorder="1" applyAlignment="1" applyProtection="1">
      <alignment horizontal="center" vertical="center" textRotation="90" wrapText="1"/>
    </xf>
    <xf numFmtId="10" fontId="26" fillId="9" borderId="20" xfId="9" applyNumberFormat="1" applyFont="1" applyBorder="1" applyAlignment="1" applyProtection="1">
      <alignment horizontal="center" vertical="center" textRotation="90" wrapText="1"/>
    </xf>
    <xf numFmtId="0" fontId="36" fillId="0" borderId="23" xfId="2" applyFont="1" applyFill="1" applyBorder="1" applyAlignment="1" applyProtection="1">
      <alignment horizontal="center" vertical="center" textRotation="90" wrapText="1"/>
    </xf>
    <xf numFmtId="0" fontId="36" fillId="0" borderId="4" xfId="2" applyFont="1" applyFill="1" applyBorder="1" applyAlignment="1" applyProtection="1">
      <alignment horizontal="center" vertical="center" textRotation="90" wrapText="1"/>
    </xf>
    <xf numFmtId="0" fontId="20" fillId="0" borderId="0" xfId="0" applyFont="1" applyAlignment="1" applyProtection="1">
      <alignment vertical="center" wrapText="1"/>
    </xf>
    <xf numFmtId="0" fontId="26" fillId="0" borderId="69" xfId="0" applyFont="1" applyBorder="1" applyAlignment="1" applyProtection="1">
      <alignment horizontal="center" vertical="center" wrapText="1"/>
    </xf>
    <xf numFmtId="0" fontId="26" fillId="16" borderId="30" xfId="0" applyFont="1" applyFill="1" applyBorder="1" applyAlignment="1" applyProtection="1">
      <alignment horizontal="center" vertical="center" wrapText="1"/>
    </xf>
    <xf numFmtId="0" fontId="26" fillId="0" borderId="37" xfId="0" applyFont="1" applyBorder="1" applyAlignment="1" applyProtection="1">
      <alignment horizontal="center" vertical="center" textRotation="90" wrapText="1"/>
    </xf>
    <xf numFmtId="0" fontId="26" fillId="0" borderId="68" xfId="0" applyFont="1" applyBorder="1" applyAlignment="1" applyProtection="1">
      <alignment horizontal="center" vertical="center" textRotation="90" wrapText="1"/>
    </xf>
    <xf numFmtId="0" fontId="20" fillId="4" borderId="44" xfId="3" applyFont="1" applyBorder="1" applyAlignment="1" applyProtection="1">
      <alignment horizontal="center"/>
    </xf>
    <xf numFmtId="16" fontId="20" fillId="5" borderId="49" xfId="4" applyNumberFormat="1" applyFont="1" applyBorder="1" applyAlignment="1" applyProtection="1">
      <alignment horizontal="center"/>
    </xf>
    <xf numFmtId="2" fontId="20" fillId="6" borderId="49" xfId="5" applyNumberFormat="1" applyFont="1" applyBorder="1" applyAlignment="1" applyProtection="1">
      <alignment horizontal="center"/>
    </xf>
    <xf numFmtId="2" fontId="37" fillId="9" borderId="53" xfId="9" applyNumberFormat="1" applyFont="1" applyBorder="1" applyAlignment="1" applyProtection="1">
      <alignment horizontal="center"/>
    </xf>
    <xf numFmtId="2" fontId="22" fillId="0" borderId="59" xfId="2" applyNumberFormat="1" applyFont="1" applyFill="1" applyBorder="1" applyAlignment="1" applyProtection="1">
      <alignment horizontal="center"/>
    </xf>
    <xf numFmtId="2" fontId="38" fillId="0" borderId="56" xfId="8" applyNumberFormat="1" applyFont="1" applyFill="1" applyBorder="1" applyProtection="1"/>
    <xf numFmtId="0" fontId="20" fillId="0" borderId="0" xfId="0" applyFont="1" applyProtection="1"/>
    <xf numFmtId="0" fontId="20" fillId="14" borderId="66" xfId="14" applyFont="1" applyBorder="1" applyAlignment="1" applyProtection="1">
      <alignment horizontal="center"/>
    </xf>
    <xf numFmtId="0" fontId="20" fillId="14" borderId="67" xfId="14" applyFont="1" applyBorder="1" applyAlignment="1" applyProtection="1">
      <alignment horizontal="center"/>
    </xf>
    <xf numFmtId="0" fontId="26" fillId="0" borderId="2" xfId="0" applyFont="1" applyBorder="1" applyProtection="1"/>
    <xf numFmtId="0" fontId="26" fillId="0" borderId="3" xfId="0" applyFont="1" applyBorder="1" applyProtection="1"/>
    <xf numFmtId="0" fontId="20" fillId="0" borderId="4" xfId="0" applyFont="1" applyBorder="1" applyProtection="1"/>
    <xf numFmtId="0" fontId="20" fillId="4" borderId="45" xfId="3" applyFont="1" applyBorder="1" applyAlignment="1" applyProtection="1">
      <alignment horizontal="center"/>
    </xf>
    <xf numFmtId="16" fontId="20" fillId="5" borderId="50" xfId="4" applyNumberFormat="1" applyFont="1" applyBorder="1" applyAlignment="1" applyProtection="1">
      <alignment horizontal="center"/>
    </xf>
    <xf numFmtId="2" fontId="20" fillId="6" borderId="50" xfId="5" applyNumberFormat="1" applyFont="1" applyBorder="1" applyAlignment="1" applyProtection="1">
      <alignment horizontal="center"/>
    </xf>
    <xf numFmtId="2" fontId="37" fillId="9" borderId="54" xfId="9" applyNumberFormat="1" applyFont="1" applyBorder="1" applyAlignment="1" applyProtection="1">
      <alignment horizontal="center"/>
    </xf>
    <xf numFmtId="2" fontId="39" fillId="7" borderId="60" xfId="6" applyNumberFormat="1" applyFont="1" applyBorder="1" applyAlignment="1" applyProtection="1">
      <alignment horizontal="center"/>
    </xf>
    <xf numFmtId="2" fontId="38" fillId="0" borderId="57" xfId="8" applyNumberFormat="1" applyFont="1" applyFill="1" applyBorder="1" applyProtection="1"/>
    <xf numFmtId="0" fontId="20" fillId="14" borderId="45" xfId="14" applyFont="1" applyBorder="1" applyAlignment="1" applyProtection="1">
      <alignment horizontal="center"/>
    </xf>
    <xf numFmtId="0" fontId="20" fillId="14" borderId="46" xfId="14" applyFont="1" applyBorder="1" applyAlignment="1" applyProtection="1">
      <alignment horizontal="center"/>
    </xf>
    <xf numFmtId="0" fontId="38" fillId="0" borderId="21" xfId="8" applyFont="1" applyBorder="1" applyProtection="1"/>
    <xf numFmtId="0" fontId="38" fillId="0" borderId="10" xfId="8" applyFont="1" applyBorder="1" applyProtection="1"/>
    <xf numFmtId="0" fontId="38" fillId="0" borderId="22" xfId="8" applyFont="1" applyBorder="1" applyProtection="1"/>
    <xf numFmtId="0" fontId="20" fillId="15" borderId="45" xfId="15" applyFont="1" applyBorder="1" applyAlignment="1" applyProtection="1">
      <alignment horizontal="center"/>
    </xf>
    <xf numFmtId="0" fontId="20" fillId="15" borderId="46" xfId="15" applyFont="1" applyBorder="1" applyAlignment="1" applyProtection="1">
      <alignment horizontal="center"/>
    </xf>
    <xf numFmtId="0" fontId="20" fillId="6" borderId="45" xfId="5" applyFont="1" applyBorder="1" applyAlignment="1" applyProtection="1">
      <alignment horizontal="center"/>
    </xf>
    <xf numFmtId="0" fontId="20" fillId="6" borderId="46" xfId="5" applyFont="1" applyBorder="1" applyAlignment="1" applyProtection="1">
      <alignment horizontal="center"/>
    </xf>
    <xf numFmtId="0" fontId="20" fillId="5" borderId="2" xfId="4" applyFont="1" applyBorder="1" applyProtection="1"/>
    <xf numFmtId="0" fontId="20" fillId="5" borderId="3" xfId="4" applyFont="1" applyBorder="1" applyProtection="1"/>
    <xf numFmtId="0" fontId="20" fillId="5" borderId="4" xfId="4" applyFont="1" applyBorder="1" applyProtection="1"/>
    <xf numFmtId="0" fontId="20" fillId="5" borderId="50" xfId="4" applyFont="1" applyBorder="1" applyAlignment="1" applyProtection="1">
      <alignment horizontal="center"/>
    </xf>
    <xf numFmtId="0" fontId="20" fillId="5" borderId="5" xfId="4" applyFont="1" applyBorder="1" applyProtection="1"/>
    <xf numFmtId="0" fontId="20" fillId="5" borderId="0" xfId="4" applyFont="1" applyBorder="1" applyProtection="1"/>
    <xf numFmtId="0" fontId="20" fillId="5" borderId="6" xfId="4" applyFont="1" applyBorder="1" applyProtection="1"/>
    <xf numFmtId="0" fontId="20" fillId="12" borderId="45" xfId="12" applyFont="1" applyBorder="1" applyAlignment="1" applyProtection="1">
      <alignment horizontal="center"/>
    </xf>
    <xf numFmtId="0" fontId="20" fillId="12" borderId="46" xfId="12" applyFont="1" applyBorder="1" applyAlignment="1" applyProtection="1">
      <alignment horizontal="center"/>
    </xf>
    <xf numFmtId="0" fontId="20" fillId="4" borderId="47" xfId="3" applyFont="1" applyBorder="1" applyAlignment="1" applyProtection="1">
      <alignment horizontal="center"/>
    </xf>
    <xf numFmtId="16" fontId="20" fillId="5" borderId="51" xfId="4" applyNumberFormat="1" applyFont="1" applyBorder="1" applyAlignment="1" applyProtection="1">
      <alignment horizontal="center"/>
    </xf>
    <xf numFmtId="2" fontId="20" fillId="6" borderId="51" xfId="5" applyNumberFormat="1" applyFont="1" applyBorder="1" applyAlignment="1" applyProtection="1">
      <alignment horizontal="center"/>
    </xf>
    <xf numFmtId="2" fontId="37" fillId="9" borderId="55" xfId="9" applyNumberFormat="1" applyFont="1" applyBorder="1" applyAlignment="1" applyProtection="1">
      <alignment horizontal="center"/>
    </xf>
    <xf numFmtId="2" fontId="38" fillId="0" borderId="58" xfId="8" applyNumberFormat="1" applyFont="1" applyFill="1" applyBorder="1" applyProtection="1"/>
    <xf numFmtId="0" fontId="20" fillId="5" borderId="7" xfId="4" applyFont="1" applyBorder="1" applyProtection="1"/>
    <xf numFmtId="0" fontId="20" fillId="5" borderId="8" xfId="4" applyFont="1" applyBorder="1" applyProtection="1"/>
    <xf numFmtId="0" fontId="20" fillId="5" borderId="9" xfId="4" applyFont="1" applyBorder="1" applyProtection="1"/>
    <xf numFmtId="0" fontId="40" fillId="13" borderId="45" xfId="13" applyFont="1" applyBorder="1" applyAlignment="1" applyProtection="1">
      <alignment horizontal="center"/>
    </xf>
    <xf numFmtId="0" fontId="40" fillId="13" borderId="46" xfId="13" applyFont="1" applyBorder="1" applyAlignment="1" applyProtection="1">
      <alignment horizontal="center"/>
    </xf>
    <xf numFmtId="0" fontId="38" fillId="0" borderId="7" xfId="8" applyFont="1" applyBorder="1" applyProtection="1"/>
    <xf numFmtId="0" fontId="38" fillId="0" borderId="8" xfId="8" applyFont="1" applyBorder="1" applyProtection="1"/>
    <xf numFmtId="0" fontId="38" fillId="0" borderId="9" xfId="8" applyFont="1" applyBorder="1" applyProtection="1"/>
    <xf numFmtId="0" fontId="4" fillId="7" borderId="23" xfId="6" applyBorder="1" applyAlignment="1" applyProtection="1">
      <alignment horizontal="center"/>
    </xf>
    <xf numFmtId="0" fontId="26" fillId="0" borderId="4" xfId="0" applyFont="1" applyBorder="1" applyProtection="1"/>
    <xf numFmtId="2" fontId="22" fillId="0" borderId="60" xfId="2" applyNumberFormat="1" applyFont="1" applyFill="1" applyBorder="1" applyAlignment="1" applyProtection="1">
      <alignment horizontal="center"/>
    </xf>
    <xf numFmtId="0" fontId="4" fillId="7" borderId="24" xfId="6" applyBorder="1" applyAlignment="1" applyProtection="1">
      <alignment horizontal="center"/>
    </xf>
    <xf numFmtId="0" fontId="25" fillId="8" borderId="31" xfId="7" applyFont="1" applyBorder="1" applyProtection="1"/>
    <xf numFmtId="0" fontId="25" fillId="8" borderId="32" xfId="7" applyFont="1" applyBorder="1" applyProtection="1"/>
    <xf numFmtId="0" fontId="0" fillId="0" borderId="0" xfId="0" applyAlignment="1" applyProtection="1"/>
    <xf numFmtId="0" fontId="40" fillId="11" borderId="45" xfId="11" applyFont="1" applyBorder="1" applyAlignment="1" applyProtection="1">
      <alignment horizontal="center"/>
    </xf>
    <xf numFmtId="0" fontId="40" fillId="11" borderId="46" xfId="11" applyFont="1" applyBorder="1" applyAlignment="1" applyProtection="1">
      <alignment horizontal="center"/>
    </xf>
    <xf numFmtId="0" fontId="4" fillId="7" borderId="25" xfId="6" quotePrefix="1" applyBorder="1" applyAlignment="1" applyProtection="1">
      <alignment horizontal="center"/>
    </xf>
    <xf numFmtId="0" fontId="25" fillId="8" borderId="33" xfId="7" applyFont="1" applyBorder="1" applyProtection="1"/>
    <xf numFmtId="0" fontId="25" fillId="8" borderId="34" xfId="7" applyFont="1" applyBorder="1" applyProtection="1"/>
    <xf numFmtId="0" fontId="40" fillId="11" borderId="47" xfId="11" applyFont="1" applyBorder="1" applyAlignment="1" applyProtection="1">
      <alignment horizontal="center"/>
    </xf>
    <xf numFmtId="0" fontId="40" fillId="11" borderId="48" xfId="11" applyFont="1" applyBorder="1" applyAlignment="1" applyProtection="1">
      <alignment horizontal="center"/>
    </xf>
    <xf numFmtId="0" fontId="22" fillId="0" borderId="0" xfId="2" applyFont="1" applyFill="1" applyBorder="1" applyAlignment="1" applyProtection="1">
      <alignment horizontal="center"/>
    </xf>
    <xf numFmtId="0" fontId="22" fillId="0" borderId="0" xfId="2" applyFont="1" applyFill="1" applyProtection="1"/>
    <xf numFmtId="0" fontId="20" fillId="4" borderId="62" xfId="3" applyFont="1" applyBorder="1" applyAlignment="1" applyProtection="1">
      <alignment horizontal="center"/>
    </xf>
    <xf numFmtId="0" fontId="20" fillId="5" borderId="52" xfId="4" applyFont="1" applyBorder="1" applyAlignment="1" applyProtection="1">
      <alignment horizontal="center"/>
    </xf>
    <xf numFmtId="2" fontId="20" fillId="6" borderId="52" xfId="5" applyNumberFormat="1" applyFont="1" applyBorder="1" applyAlignment="1" applyProtection="1">
      <alignment horizontal="center"/>
    </xf>
    <xf numFmtId="2" fontId="37" fillId="9" borderId="35" xfId="9" applyNumberFormat="1" applyFont="1" applyBorder="1" applyAlignment="1" applyProtection="1">
      <alignment horizontal="center"/>
    </xf>
    <xf numFmtId="2" fontId="38" fillId="0" borderId="63" xfId="8" applyNumberFormat="1" applyFont="1" applyFill="1" applyBorder="1" applyProtection="1"/>
    <xf numFmtId="0" fontId="41" fillId="0" borderId="0" xfId="0" applyFont="1" applyProtection="1"/>
    <xf numFmtId="2" fontId="22" fillId="0" borderId="61" xfId="2" applyNumberFormat="1" applyFont="1" applyFill="1" applyBorder="1" applyAlignment="1" applyProtection="1">
      <alignment horizontal="center"/>
    </xf>
    <xf numFmtId="0" fontId="20" fillId="5" borderId="51" xfId="4" applyFont="1" applyBorder="1" applyAlignment="1" applyProtection="1">
      <alignment horizontal="center"/>
    </xf>
    <xf numFmtId="0" fontId="20" fillId="6" borderId="15" xfId="5" applyFont="1" applyBorder="1" applyAlignment="1" applyProtection="1">
      <alignment horizontal="center"/>
    </xf>
    <xf numFmtId="0" fontId="20" fillId="6" borderId="16" xfId="5" applyFont="1" applyBorder="1" applyAlignment="1" applyProtection="1">
      <alignment horizontal="center"/>
    </xf>
    <xf numFmtId="2" fontId="20" fillId="6" borderId="16" xfId="5" applyNumberFormat="1" applyFont="1" applyBorder="1" applyAlignment="1" applyProtection="1">
      <alignment horizontal="center"/>
    </xf>
    <xf numFmtId="2" fontId="37" fillId="9" borderId="28" xfId="9" applyNumberFormat="1" applyFont="1" applyBorder="1" applyAlignment="1" applyProtection="1">
      <alignment horizontal="center"/>
    </xf>
    <xf numFmtId="0" fontId="20" fillId="0" borderId="0" xfId="0" applyFont="1" applyBorder="1" applyProtection="1"/>
    <xf numFmtId="0" fontId="20" fillId="0" borderId="6" xfId="0" applyFont="1" applyFill="1" applyBorder="1" applyProtection="1"/>
    <xf numFmtId="0" fontId="20" fillId="0" borderId="0" xfId="0" applyFont="1" applyFill="1" applyProtection="1"/>
    <xf numFmtId="0" fontId="20" fillId="9" borderId="17" xfId="9" applyFont="1" applyBorder="1" applyAlignment="1" applyProtection="1">
      <alignment horizontal="center"/>
    </xf>
    <xf numFmtId="0" fontId="20" fillId="9" borderId="19" xfId="9" applyFont="1" applyBorder="1" applyAlignment="1" applyProtection="1">
      <alignment horizontal="center"/>
    </xf>
    <xf numFmtId="2" fontId="20" fillId="9" borderId="19" xfId="9" applyNumberFormat="1" applyFont="1" applyBorder="1" applyAlignment="1" applyProtection="1">
      <alignment horizontal="center"/>
    </xf>
    <xf numFmtId="2" fontId="37" fillId="9" borderId="29" xfId="9" applyNumberFormat="1" applyFont="1" applyBorder="1" applyAlignment="1" applyProtection="1">
      <alignment horizontal="center"/>
    </xf>
    <xf numFmtId="0" fontId="19" fillId="2" borderId="17" xfId="1" applyFont="1" applyBorder="1" applyAlignment="1" applyProtection="1">
      <alignment horizontal="center"/>
    </xf>
    <xf numFmtId="0" fontId="19" fillId="2" borderId="18" xfId="1" applyFont="1" applyBorder="1" applyAlignment="1" applyProtection="1">
      <alignment horizontal="center"/>
    </xf>
    <xf numFmtId="2" fontId="19" fillId="2" borderId="18" xfId="1" applyNumberFormat="1" applyFont="1" applyBorder="1" applyAlignment="1" applyProtection="1">
      <alignment horizontal="center"/>
    </xf>
    <xf numFmtId="2" fontId="19" fillId="2" borderId="30" xfId="1" applyNumberFormat="1" applyFont="1" applyBorder="1" applyAlignment="1" applyProtection="1">
      <alignment horizontal="center"/>
    </xf>
    <xf numFmtId="0" fontId="20" fillId="0" borderId="8" xfId="0" applyFont="1" applyBorder="1" applyProtection="1"/>
    <xf numFmtId="0" fontId="20" fillId="0" borderId="9" xfId="0" applyFont="1" applyFill="1" applyBorder="1" applyProtection="1"/>
    <xf numFmtId="0" fontId="60" fillId="3" borderId="35" xfId="2" applyFont="1" applyBorder="1"/>
    <xf numFmtId="0" fontId="60" fillId="3" borderId="70" xfId="2" applyFont="1" applyBorder="1"/>
    <xf numFmtId="0" fontId="60" fillId="3" borderId="70" xfId="2" applyFont="1" applyBorder="1" applyAlignment="1">
      <alignment horizontal="center"/>
    </xf>
    <xf numFmtId="0" fontId="60" fillId="3" borderId="71" xfId="2" applyFont="1" applyBorder="1"/>
    <xf numFmtId="0" fontId="60" fillId="3" borderId="72" xfId="2" applyFont="1" applyBorder="1"/>
    <xf numFmtId="0" fontId="60" fillId="3" borderId="73" xfId="2" applyFont="1" applyBorder="1"/>
    <xf numFmtId="0" fontId="60" fillId="3" borderId="73" xfId="2" applyFont="1" applyBorder="1" applyAlignment="1">
      <alignment horizontal="center"/>
    </xf>
    <xf numFmtId="0" fontId="60" fillId="3" borderId="74" xfId="2" applyFont="1" applyBorder="1"/>
    <xf numFmtId="0" fontId="0" fillId="19" borderId="0" xfId="0" applyFill="1"/>
    <xf numFmtId="2" fontId="0" fillId="0" borderId="0" xfId="0" applyNumberFormat="1" applyAlignment="1" applyProtection="1"/>
    <xf numFmtId="0" fontId="22" fillId="0" borderId="0" xfId="2" applyFont="1" applyFill="1" applyBorder="1" applyProtection="1"/>
    <xf numFmtId="0" fontId="0" fillId="0" borderId="0" xfId="0" applyFill="1" applyBorder="1" applyAlignment="1" applyProtection="1"/>
    <xf numFmtId="0" fontId="0" fillId="0" borderId="0" xfId="0" applyFill="1" applyBorder="1" applyAlignment="1"/>
    <xf numFmtId="0" fontId="20" fillId="0" borderId="0" xfId="3" applyFont="1" applyFill="1" applyBorder="1" applyAlignment="1" applyProtection="1">
      <alignment horizontal="center"/>
    </xf>
    <xf numFmtId="16" fontId="20" fillId="0" borderId="0" xfId="4" applyNumberFormat="1" applyFont="1" applyFill="1" applyBorder="1" applyAlignment="1" applyProtection="1">
      <alignment horizontal="center"/>
    </xf>
    <xf numFmtId="2" fontId="20" fillId="0" borderId="0" xfId="5" applyNumberFormat="1" applyFont="1" applyFill="1" applyBorder="1" applyAlignment="1" applyProtection="1">
      <alignment horizontal="center"/>
    </xf>
    <xf numFmtId="2" fontId="37" fillId="0" borderId="0" xfId="9" applyNumberFormat="1" applyFont="1" applyFill="1" applyBorder="1" applyAlignment="1" applyProtection="1">
      <alignment horizontal="center"/>
    </xf>
    <xf numFmtId="2" fontId="22" fillId="0" borderId="0" xfId="2" applyNumberFormat="1" applyFont="1" applyFill="1" applyBorder="1" applyAlignment="1" applyProtection="1">
      <alignment horizontal="center"/>
    </xf>
    <xf numFmtId="2" fontId="39" fillId="0" borderId="0" xfId="6" applyNumberFormat="1" applyFont="1" applyFill="1" applyBorder="1" applyAlignment="1" applyProtection="1">
      <alignment horizontal="center"/>
    </xf>
    <xf numFmtId="0" fontId="20" fillId="0" borderId="0" xfId="4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165" fontId="1" fillId="6" borderId="0" xfId="5" applyNumberFormat="1" applyBorder="1" applyAlignment="1" applyProtection="1">
      <alignment horizontal="center"/>
      <protection locked="0"/>
    </xf>
    <xf numFmtId="166" fontId="0" fillId="0" borderId="0" xfId="0" applyNumberFormat="1" applyBorder="1"/>
    <xf numFmtId="16" fontId="0" fillId="0" borderId="0" xfId="0" applyNumberFormat="1" applyBorder="1" applyAlignment="1"/>
    <xf numFmtId="16" fontId="20" fillId="0" borderId="0" xfId="0" applyNumberFormat="1" applyFont="1" applyFill="1" applyAlignment="1">
      <alignment horizontal="center"/>
    </xf>
    <xf numFmtId="16" fontId="0" fillId="0" borderId="0" xfId="0" applyNumberFormat="1" applyFill="1" applyAlignment="1">
      <alignment horizontal="center"/>
    </xf>
    <xf numFmtId="16" fontId="0" fillId="0" borderId="0" xfId="0" applyNumberFormat="1" applyAlignment="1">
      <alignment horizontal="center"/>
    </xf>
    <xf numFmtId="16" fontId="20" fillId="0" borderId="0" xfId="3" applyNumberFormat="1" applyFont="1" applyFill="1" applyBorder="1" applyAlignment="1">
      <alignment horizontal="center"/>
    </xf>
    <xf numFmtId="16" fontId="20" fillId="0" borderId="0" xfId="3" applyNumberFormat="1" applyFont="1" applyFill="1" applyBorder="1" applyAlignment="1"/>
    <xf numFmtId="165" fontId="0" fillId="6" borderId="0" xfId="5" applyNumberFormat="1" applyFont="1" applyBorder="1" applyAlignment="1" applyProtection="1">
      <alignment horizontal="center"/>
      <protection locked="0"/>
    </xf>
    <xf numFmtId="0" fontId="11" fillId="0" borderId="3" xfId="0" applyFont="1" applyBorder="1" applyAlignment="1"/>
    <xf numFmtId="0" fontId="11" fillId="0" borderId="4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45" fillId="0" borderId="7" xfId="2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59" fillId="0" borderId="0" xfId="0" applyFont="1" applyAlignment="1"/>
    <xf numFmtId="0" fontId="0" fillId="0" borderId="3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45" fillId="0" borderId="36" xfId="2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0" xfId="0" applyBorder="1" applyAlignment="1">
      <alignment horizontal="center"/>
    </xf>
    <xf numFmtId="0" fontId="45" fillId="0" borderId="5" xfId="2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4" xfId="0" applyBorder="1" applyAlignment="1"/>
    <xf numFmtId="0" fontId="44" fillId="16" borderId="41" xfId="7" applyFont="1" applyFill="1" applyBorder="1" applyAlignment="1" applyProtection="1">
      <alignment horizontal="center"/>
      <protection locked="0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16" borderId="36" xfId="0" applyFill="1" applyBorder="1" applyAlignment="1" applyProtection="1">
      <alignment horizontal="center"/>
      <protection locked="0"/>
    </xf>
    <xf numFmtId="0" fontId="15" fillId="0" borderId="36" xfId="3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42" fillId="7" borderId="3" xfId="6" applyFont="1" applyBorder="1" applyAlignment="1"/>
    <xf numFmtId="16" fontId="11" fillId="12" borderId="3" xfId="12" applyNumberFormat="1" applyFont="1" applyBorder="1" applyAlignment="1" applyProtection="1"/>
    <xf numFmtId="14" fontId="48" fillId="17" borderId="3" xfId="18" applyNumberFormat="1" applyFont="1" applyBorder="1" applyAlignment="1" applyProtection="1"/>
    <xf numFmtId="0" fontId="48" fillId="17" borderId="3" xfId="18" applyFont="1" applyBorder="1" applyAlignment="1" applyProtection="1"/>
    <xf numFmtId="16" fontId="17" fillId="2" borderId="3" xfId="1" applyNumberFormat="1" applyFont="1" applyBorder="1" applyAlignment="1" applyProtection="1"/>
    <xf numFmtId="16" fontId="11" fillId="6" borderId="3" xfId="5" applyNumberFormat="1" applyFont="1" applyBorder="1" applyAlignment="1" applyProtection="1"/>
    <xf numFmtId="16" fontId="13" fillId="11" borderId="3" xfId="11" applyNumberFormat="1" applyFont="1" applyBorder="1" applyAlignment="1" applyProtection="1"/>
    <xf numFmtId="16" fontId="13" fillId="13" borderId="3" xfId="13" applyNumberFormat="1" applyFont="1" applyBorder="1" applyAlignment="1" applyProtection="1"/>
    <xf numFmtId="16" fontId="4" fillId="7" borderId="3" xfId="6" applyNumberFormat="1" applyBorder="1" applyAlignment="1"/>
  </cellXfs>
  <cellStyles count="21">
    <cellStyle name="20% - Accent2" xfId="4" builtinId="34"/>
    <cellStyle name="20% - Accent3" xfId="5" builtinId="38"/>
    <cellStyle name="20% - Accent6" xfId="14" builtinId="50"/>
    <cellStyle name="40% - Accent1" xfId="3" builtinId="31"/>
    <cellStyle name="40% - Accent3" xfId="12" builtinId="39"/>
    <cellStyle name="40% - Accent6" xfId="15" builtinId="51"/>
    <cellStyle name="60% - Accent3" xfId="13" builtinId="40"/>
    <cellStyle name="Accent1" xfId="19" builtinId="29"/>
    <cellStyle name="Accent3" xfId="11" builtinId="37"/>
    <cellStyle name="Bad" xfId="6" builtinId="27"/>
    <cellStyle name="Calculation" xfId="18" builtinId="22"/>
    <cellStyle name="Explanatory Text" xfId="10" builtinId="53"/>
    <cellStyle name="Followed Hyperlink" xfId="17" builtinId="9" hidden="1"/>
    <cellStyle name="Good" xfId="1" builtinId="26"/>
    <cellStyle name="Hyperlink" xfId="16" builtinId="8" hidden="1"/>
    <cellStyle name="Hyperlink" xfId="20" builtinId="8"/>
    <cellStyle name="Input" xfId="7" builtinId="20"/>
    <cellStyle name="Linked Cell" xfId="8" builtinId="24"/>
    <cellStyle name="Neutral" xfId="2" builtinId="28"/>
    <cellStyle name="Normal" xfId="0" builtinId="0"/>
    <cellStyle name="Note" xfId="9" builtinId="10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32-49FA-AA78-E72053DCC78B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32-49FA-AA78-E72053DCC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62880"/>
        <c:axId val="473755824"/>
      </c:scatterChart>
      <c:valAx>
        <c:axId val="473762880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3755824"/>
        <c:crosses val="autoZero"/>
        <c:crossBetween val="midCat"/>
      </c:valAx>
      <c:valAx>
        <c:axId val="473755824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62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F-4F34-9FCD-6D16143134E5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F-4F34-9FCD-6D16143134E5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F-4F34-9FCD-6D161431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58568"/>
        <c:axId val="475704408"/>
      </c:scatterChart>
      <c:valAx>
        <c:axId val="473758568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4408"/>
        <c:crosses val="autoZero"/>
        <c:crossBetween val="midCat"/>
      </c:valAx>
      <c:valAx>
        <c:axId val="47570440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3758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A-4DB4-A850-AFEF44EFFCC7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A-4DB4-A850-AFEF44EFFCC7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A-4DB4-A850-AFEF44EFFCC7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9.4319999999999986</c:v>
                </c:pt>
                <c:pt idx="6">
                  <c:v>13.431999999999999</c:v>
                </c:pt>
                <c:pt idx="7">
                  <c:v>16.431999999999999</c:v>
                </c:pt>
                <c:pt idx="8">
                  <c:v>16.431999999999999</c:v>
                </c:pt>
                <c:pt idx="9">
                  <c:v>20.431999999999999</c:v>
                </c:pt>
                <c:pt idx="10">
                  <c:v>24.431999999999999</c:v>
                </c:pt>
                <c:pt idx="11">
                  <c:v>26.681999999999999</c:v>
                </c:pt>
                <c:pt idx="12">
                  <c:v>26.681999999999999</c:v>
                </c:pt>
                <c:pt idx="13">
                  <c:v>43.880899999999997</c:v>
                </c:pt>
                <c:pt idx="14">
                  <c:v>44.380899999999997</c:v>
                </c:pt>
                <c:pt idx="15">
                  <c:v>44.880899999999997</c:v>
                </c:pt>
                <c:pt idx="16">
                  <c:v>45.380899999999997</c:v>
                </c:pt>
                <c:pt idx="17">
                  <c:v>47.780899999999995</c:v>
                </c:pt>
                <c:pt idx="18">
                  <c:v>51.880899999999997</c:v>
                </c:pt>
                <c:pt idx="19">
                  <c:v>52.380899999999997</c:v>
                </c:pt>
                <c:pt idx="20">
                  <c:v>54.780899999999995</c:v>
                </c:pt>
                <c:pt idx="21">
                  <c:v>56.130899999999997</c:v>
                </c:pt>
                <c:pt idx="22">
                  <c:v>58.130899999999997</c:v>
                </c:pt>
                <c:pt idx="23">
                  <c:v>92.150900000000007</c:v>
                </c:pt>
                <c:pt idx="24">
                  <c:v>92.85090000000001</c:v>
                </c:pt>
                <c:pt idx="25">
                  <c:v>92.85090000000001</c:v>
                </c:pt>
                <c:pt idx="26">
                  <c:v>92.85090000000001</c:v>
                </c:pt>
                <c:pt idx="27">
                  <c:v>92.85090000000001</c:v>
                </c:pt>
                <c:pt idx="28">
                  <c:v>92.85090000000001</c:v>
                </c:pt>
                <c:pt idx="29">
                  <c:v>92.85090000000001</c:v>
                </c:pt>
                <c:pt idx="30">
                  <c:v>92.85090000000001</c:v>
                </c:pt>
                <c:pt idx="31">
                  <c:v>92.85090000000001</c:v>
                </c:pt>
                <c:pt idx="32">
                  <c:v>92.85090000000001</c:v>
                </c:pt>
                <c:pt idx="33">
                  <c:v>92.85090000000001</c:v>
                </c:pt>
                <c:pt idx="34">
                  <c:v>92.85090000000001</c:v>
                </c:pt>
                <c:pt idx="35">
                  <c:v>92.85090000000001</c:v>
                </c:pt>
                <c:pt idx="36">
                  <c:v>92.85090000000001</c:v>
                </c:pt>
                <c:pt idx="37">
                  <c:v>92.85090000000001</c:v>
                </c:pt>
                <c:pt idx="38">
                  <c:v>92.85090000000001</c:v>
                </c:pt>
                <c:pt idx="39">
                  <c:v>92.85090000000001</c:v>
                </c:pt>
                <c:pt idx="40">
                  <c:v>92.85090000000001</c:v>
                </c:pt>
                <c:pt idx="41">
                  <c:v>92.85090000000001</c:v>
                </c:pt>
                <c:pt idx="42">
                  <c:v>92.85090000000001</c:v>
                </c:pt>
                <c:pt idx="43">
                  <c:v>92.85090000000001</c:v>
                </c:pt>
                <c:pt idx="44">
                  <c:v>92.85090000000001</c:v>
                </c:pt>
                <c:pt idx="45">
                  <c:v>92.85090000000001</c:v>
                </c:pt>
                <c:pt idx="46">
                  <c:v>92.85090000000001</c:v>
                </c:pt>
                <c:pt idx="47">
                  <c:v>92.85090000000001</c:v>
                </c:pt>
                <c:pt idx="48">
                  <c:v>92.85090000000001</c:v>
                </c:pt>
                <c:pt idx="49">
                  <c:v>92.85090000000001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A-4DB4-A850-AFEF44EFF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7936"/>
        <c:axId val="475701272"/>
      </c:scatterChart>
      <c:valAx>
        <c:axId val="475707936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1272"/>
        <c:crosses val="autoZero"/>
        <c:crossBetween val="midCat"/>
      </c:valAx>
      <c:valAx>
        <c:axId val="475701272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7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'Instructor Course Information'!$J$12</c:f>
              <c:strCache>
                <c:ptCount val="1"/>
                <c:pt idx="0">
                  <c:v>2017 Rough Class Average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Calculations'!$I$5:$I$54</c:f>
              <c:numCache>
                <c:formatCode>0.00</c:formatCode>
                <c:ptCount val="50"/>
                <c:pt idx="0">
                  <c:v>1.2</c:v>
                </c:pt>
                <c:pt idx="1">
                  <c:v>2.7</c:v>
                </c:pt>
                <c:pt idx="2">
                  <c:v>3.9800000000000004</c:v>
                </c:pt>
                <c:pt idx="3">
                  <c:v>6.58</c:v>
                </c:pt>
                <c:pt idx="4">
                  <c:v>6.58</c:v>
                </c:pt>
                <c:pt idx="5">
                  <c:v>6.58</c:v>
                </c:pt>
                <c:pt idx="6">
                  <c:v>9.7800000000000011</c:v>
                </c:pt>
                <c:pt idx="7">
                  <c:v>12.180000000000001</c:v>
                </c:pt>
                <c:pt idx="8">
                  <c:v>12.180000000000001</c:v>
                </c:pt>
                <c:pt idx="9">
                  <c:v>15.180000000000001</c:v>
                </c:pt>
                <c:pt idx="10">
                  <c:v>18.380000000000003</c:v>
                </c:pt>
                <c:pt idx="11">
                  <c:v>20.180000000000003</c:v>
                </c:pt>
                <c:pt idx="12">
                  <c:v>20.180000000000003</c:v>
                </c:pt>
                <c:pt idx="13">
                  <c:v>31.230000000000004</c:v>
                </c:pt>
                <c:pt idx="14">
                  <c:v>31.230000000000004</c:v>
                </c:pt>
                <c:pt idx="15">
                  <c:v>31.230000000000004</c:v>
                </c:pt>
                <c:pt idx="16">
                  <c:v>31.230000000000004</c:v>
                </c:pt>
                <c:pt idx="17">
                  <c:v>33.150000000000006</c:v>
                </c:pt>
                <c:pt idx="18">
                  <c:v>35.750000000000007</c:v>
                </c:pt>
                <c:pt idx="19">
                  <c:v>35.750000000000007</c:v>
                </c:pt>
                <c:pt idx="20">
                  <c:v>38.550000000000004</c:v>
                </c:pt>
                <c:pt idx="21">
                  <c:v>39.900000000000006</c:v>
                </c:pt>
                <c:pt idx="22">
                  <c:v>41.100000000000009</c:v>
                </c:pt>
                <c:pt idx="23">
                  <c:v>70.5</c:v>
                </c:pt>
                <c:pt idx="24">
                  <c:v>70.5</c:v>
                </c:pt>
                <c:pt idx="25">
                  <c:v>70.5</c:v>
                </c:pt>
                <c:pt idx="26">
                  <c:v>70.5</c:v>
                </c:pt>
                <c:pt idx="27">
                  <c:v>70.5</c:v>
                </c:pt>
                <c:pt idx="28">
                  <c:v>70.5</c:v>
                </c:pt>
                <c:pt idx="29">
                  <c:v>70.5</c:v>
                </c:pt>
                <c:pt idx="30">
                  <c:v>70.5</c:v>
                </c:pt>
                <c:pt idx="31">
                  <c:v>70.5</c:v>
                </c:pt>
                <c:pt idx="32">
                  <c:v>70.5</c:v>
                </c:pt>
                <c:pt idx="33">
                  <c:v>70.5</c:v>
                </c:pt>
                <c:pt idx="34">
                  <c:v>70.5</c:v>
                </c:pt>
                <c:pt idx="35">
                  <c:v>70.5</c:v>
                </c:pt>
                <c:pt idx="36">
                  <c:v>70.5</c:v>
                </c:pt>
                <c:pt idx="37">
                  <c:v>70.5</c:v>
                </c:pt>
                <c:pt idx="38">
                  <c:v>70.5</c:v>
                </c:pt>
                <c:pt idx="39">
                  <c:v>70.5</c:v>
                </c:pt>
                <c:pt idx="40">
                  <c:v>70.5</c:v>
                </c:pt>
                <c:pt idx="41">
                  <c:v>70.5</c:v>
                </c:pt>
                <c:pt idx="42">
                  <c:v>70.5</c:v>
                </c:pt>
                <c:pt idx="43">
                  <c:v>70.5</c:v>
                </c:pt>
                <c:pt idx="44">
                  <c:v>70.5</c:v>
                </c:pt>
                <c:pt idx="45">
                  <c:v>70.5</c:v>
                </c:pt>
                <c:pt idx="46">
                  <c:v>70.5</c:v>
                </c:pt>
                <c:pt idx="47">
                  <c:v>70.5</c:v>
                </c:pt>
                <c:pt idx="48">
                  <c:v>70.5</c:v>
                </c:pt>
                <c:pt idx="49">
                  <c:v>70.5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9A9-8D92-838BA578F8BF}"/>
            </c:ext>
          </c:extLst>
        </c:ser>
        <c:ser>
          <c:idx val="1"/>
          <c:order val="1"/>
          <c:tx>
            <c:strRef>
              <c:f>'Instructor Course Information'!$J$13</c:f>
              <c:strCache>
                <c:ptCount val="1"/>
                <c:pt idx="0">
                  <c:v>Your Predicted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Calculations'!$K$5:$K$54</c:f>
              <c:numCache>
                <c:formatCode>0.00</c:formatCode>
                <c:ptCount val="50"/>
                <c:pt idx="0">
                  <c:v>1.44</c:v>
                </c:pt>
                <c:pt idx="1">
                  <c:v>3.165</c:v>
                </c:pt>
                <c:pt idx="2">
                  <c:v>4.7010000000000005</c:v>
                </c:pt>
                <c:pt idx="3">
                  <c:v>7.5609999999999999</c:v>
                </c:pt>
                <c:pt idx="4">
                  <c:v>7.5609999999999999</c:v>
                </c:pt>
                <c:pt idx="5">
                  <c:v>7.5609999999999999</c:v>
                </c:pt>
                <c:pt idx="6">
                  <c:v>11.401</c:v>
                </c:pt>
                <c:pt idx="7">
                  <c:v>14.161</c:v>
                </c:pt>
                <c:pt idx="8">
                  <c:v>14.161</c:v>
                </c:pt>
                <c:pt idx="9">
                  <c:v>17.611000000000001</c:v>
                </c:pt>
                <c:pt idx="10">
                  <c:v>21.451000000000001</c:v>
                </c:pt>
                <c:pt idx="11">
                  <c:v>23.611000000000001</c:v>
                </c:pt>
                <c:pt idx="12">
                  <c:v>23.611000000000001</c:v>
                </c:pt>
                <c:pt idx="13">
                  <c:v>35.765999999999998</c:v>
                </c:pt>
                <c:pt idx="14">
                  <c:v>35.765999999999998</c:v>
                </c:pt>
                <c:pt idx="15">
                  <c:v>35.765999999999998</c:v>
                </c:pt>
                <c:pt idx="16">
                  <c:v>35.765999999999998</c:v>
                </c:pt>
                <c:pt idx="17">
                  <c:v>38.07</c:v>
                </c:pt>
                <c:pt idx="18">
                  <c:v>40.93</c:v>
                </c:pt>
                <c:pt idx="19">
                  <c:v>40.93</c:v>
                </c:pt>
                <c:pt idx="20">
                  <c:v>44.29</c:v>
                </c:pt>
                <c:pt idx="21">
                  <c:v>45.91</c:v>
                </c:pt>
                <c:pt idx="22">
                  <c:v>47.29</c:v>
                </c:pt>
                <c:pt idx="23">
                  <c:v>81.099999999999994</c:v>
                </c:pt>
                <c:pt idx="24">
                  <c:v>81.099999999999994</c:v>
                </c:pt>
                <c:pt idx="25">
                  <c:v>81.099999999999994</c:v>
                </c:pt>
                <c:pt idx="26">
                  <c:v>81.099999999999994</c:v>
                </c:pt>
                <c:pt idx="27">
                  <c:v>81.099999999999994</c:v>
                </c:pt>
                <c:pt idx="28">
                  <c:v>81.099999999999994</c:v>
                </c:pt>
                <c:pt idx="29">
                  <c:v>81.099999999999994</c:v>
                </c:pt>
                <c:pt idx="30">
                  <c:v>81.099999999999994</c:v>
                </c:pt>
                <c:pt idx="31">
                  <c:v>81.099999999999994</c:v>
                </c:pt>
                <c:pt idx="32">
                  <c:v>81.099999999999994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81.099999999999994</c:v>
                </c:pt>
                <c:pt idx="36">
                  <c:v>81.099999999999994</c:v>
                </c:pt>
                <c:pt idx="37">
                  <c:v>81.099999999999994</c:v>
                </c:pt>
                <c:pt idx="38">
                  <c:v>81.099999999999994</c:v>
                </c:pt>
                <c:pt idx="39">
                  <c:v>81.099999999999994</c:v>
                </c:pt>
                <c:pt idx="40">
                  <c:v>81.099999999999994</c:v>
                </c:pt>
                <c:pt idx="41">
                  <c:v>81.099999999999994</c:v>
                </c:pt>
                <c:pt idx="42">
                  <c:v>81.099999999999994</c:v>
                </c:pt>
                <c:pt idx="43">
                  <c:v>81.099999999999994</c:v>
                </c:pt>
                <c:pt idx="44">
                  <c:v>81.099999999999994</c:v>
                </c:pt>
                <c:pt idx="45">
                  <c:v>81.099999999999994</c:v>
                </c:pt>
                <c:pt idx="46">
                  <c:v>81.099999999999994</c:v>
                </c:pt>
                <c:pt idx="47">
                  <c:v>81.099999999999994</c:v>
                </c:pt>
                <c:pt idx="48">
                  <c:v>81.099999999999994</c:v>
                </c:pt>
                <c:pt idx="49">
                  <c:v>81.099999999999994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9A9-8D92-838BA578F8BF}"/>
            </c:ext>
          </c:extLst>
        </c:ser>
        <c:ser>
          <c:idx val="2"/>
          <c:order val="2"/>
          <c:tx>
            <c:v>Planned</c:v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Calculations'!$O$5:$O$54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8.1</c:v>
                </c:pt>
                <c:pt idx="4">
                  <c:v>8.5</c:v>
                </c:pt>
                <c:pt idx="5">
                  <c:v>8.9</c:v>
                </c:pt>
                <c:pt idx="6">
                  <c:v>12.9</c:v>
                </c:pt>
                <c:pt idx="7">
                  <c:v>15.600000000000001</c:v>
                </c:pt>
                <c:pt idx="8">
                  <c:v>16.100000000000001</c:v>
                </c:pt>
                <c:pt idx="9">
                  <c:v>19.700000000000003</c:v>
                </c:pt>
                <c:pt idx="10">
                  <c:v>23.700000000000003</c:v>
                </c:pt>
                <c:pt idx="11">
                  <c:v>25.725000000000001</c:v>
                </c:pt>
                <c:pt idx="12">
                  <c:v>26.125</c:v>
                </c:pt>
                <c:pt idx="13">
                  <c:v>38.875</c:v>
                </c:pt>
                <c:pt idx="14">
                  <c:v>39.274999999999999</c:v>
                </c:pt>
                <c:pt idx="15">
                  <c:v>39.625</c:v>
                </c:pt>
                <c:pt idx="16">
                  <c:v>40.024999999999999</c:v>
                </c:pt>
                <c:pt idx="17">
                  <c:v>41.945</c:v>
                </c:pt>
                <c:pt idx="18">
                  <c:v>44.744999999999997</c:v>
                </c:pt>
                <c:pt idx="19">
                  <c:v>45.144999999999996</c:v>
                </c:pt>
                <c:pt idx="20">
                  <c:v>48.344999999999999</c:v>
                </c:pt>
                <c:pt idx="21">
                  <c:v>50.37</c:v>
                </c:pt>
                <c:pt idx="22">
                  <c:v>52.169999999999995</c:v>
                </c:pt>
                <c:pt idx="23">
                  <c:v>83.669999999999987</c:v>
                </c:pt>
                <c:pt idx="24">
                  <c:v>84.57</c:v>
                </c:pt>
                <c:pt idx="25">
                  <c:v>84.57</c:v>
                </c:pt>
                <c:pt idx="26">
                  <c:v>84.57</c:v>
                </c:pt>
                <c:pt idx="27">
                  <c:v>84.57</c:v>
                </c:pt>
                <c:pt idx="28">
                  <c:v>84.57</c:v>
                </c:pt>
                <c:pt idx="29">
                  <c:v>84.57</c:v>
                </c:pt>
                <c:pt idx="30">
                  <c:v>84.57</c:v>
                </c:pt>
                <c:pt idx="31">
                  <c:v>84.57</c:v>
                </c:pt>
                <c:pt idx="32">
                  <c:v>84.57</c:v>
                </c:pt>
                <c:pt idx="33">
                  <c:v>84.57</c:v>
                </c:pt>
                <c:pt idx="34">
                  <c:v>84.57</c:v>
                </c:pt>
                <c:pt idx="35">
                  <c:v>84.57</c:v>
                </c:pt>
                <c:pt idx="36">
                  <c:v>84.57</c:v>
                </c:pt>
                <c:pt idx="37">
                  <c:v>84.57</c:v>
                </c:pt>
                <c:pt idx="38">
                  <c:v>84.57</c:v>
                </c:pt>
                <c:pt idx="39">
                  <c:v>84.57</c:v>
                </c:pt>
                <c:pt idx="40">
                  <c:v>84.57</c:v>
                </c:pt>
                <c:pt idx="41">
                  <c:v>84.57</c:v>
                </c:pt>
                <c:pt idx="42">
                  <c:v>84.57</c:v>
                </c:pt>
                <c:pt idx="43">
                  <c:v>84.57</c:v>
                </c:pt>
                <c:pt idx="44">
                  <c:v>84.57</c:v>
                </c:pt>
                <c:pt idx="45">
                  <c:v>84.57</c:v>
                </c:pt>
                <c:pt idx="46">
                  <c:v>84.57</c:v>
                </c:pt>
                <c:pt idx="47">
                  <c:v>84.57</c:v>
                </c:pt>
                <c:pt idx="48">
                  <c:v>84.57</c:v>
                </c:pt>
                <c:pt idx="49">
                  <c:v>84.57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9A9-8D92-838BA578F8BF}"/>
            </c:ext>
          </c:extLst>
        </c:ser>
        <c:ser>
          <c:idx val="3"/>
          <c:order val="3"/>
          <c:tx>
            <c:strRef>
              <c:f>'Instructor Course Information'!$J$15</c:f>
              <c:strCache>
                <c:ptCount val="1"/>
                <c:pt idx="0">
                  <c:v>Your Tracked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Calculations'!$S$5:$S$54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9.4319999999999986</c:v>
                </c:pt>
                <c:pt idx="6">
                  <c:v>13.431999999999999</c:v>
                </c:pt>
                <c:pt idx="7">
                  <c:v>16.431999999999999</c:v>
                </c:pt>
                <c:pt idx="8">
                  <c:v>16.431999999999999</c:v>
                </c:pt>
                <c:pt idx="9">
                  <c:v>20.431999999999999</c:v>
                </c:pt>
                <c:pt idx="10">
                  <c:v>24.431999999999999</c:v>
                </c:pt>
                <c:pt idx="11">
                  <c:v>26.681999999999999</c:v>
                </c:pt>
                <c:pt idx="12">
                  <c:v>26.681999999999999</c:v>
                </c:pt>
                <c:pt idx="13">
                  <c:v>43.880899999999997</c:v>
                </c:pt>
                <c:pt idx="14">
                  <c:v>44.380899999999997</c:v>
                </c:pt>
                <c:pt idx="15">
                  <c:v>44.880899999999997</c:v>
                </c:pt>
                <c:pt idx="16">
                  <c:v>45.380899999999997</c:v>
                </c:pt>
                <c:pt idx="17">
                  <c:v>47.780899999999995</c:v>
                </c:pt>
                <c:pt idx="18">
                  <c:v>51.880899999999997</c:v>
                </c:pt>
                <c:pt idx="19">
                  <c:v>52.380899999999997</c:v>
                </c:pt>
                <c:pt idx="20">
                  <c:v>54.780899999999995</c:v>
                </c:pt>
                <c:pt idx="21">
                  <c:v>56.130899999999997</c:v>
                </c:pt>
                <c:pt idx="22">
                  <c:v>58.130899999999997</c:v>
                </c:pt>
                <c:pt idx="23">
                  <c:v>92.150900000000007</c:v>
                </c:pt>
                <c:pt idx="24">
                  <c:v>92.85090000000001</c:v>
                </c:pt>
                <c:pt idx="25">
                  <c:v>92.85090000000001</c:v>
                </c:pt>
                <c:pt idx="26">
                  <c:v>92.85090000000001</c:v>
                </c:pt>
                <c:pt idx="27">
                  <c:v>92.85090000000001</c:v>
                </c:pt>
                <c:pt idx="28">
                  <c:v>92.85090000000001</c:v>
                </c:pt>
                <c:pt idx="29">
                  <c:v>92.85090000000001</c:v>
                </c:pt>
                <c:pt idx="30">
                  <c:v>92.85090000000001</c:v>
                </c:pt>
                <c:pt idx="31">
                  <c:v>92.85090000000001</c:v>
                </c:pt>
                <c:pt idx="32">
                  <c:v>92.85090000000001</c:v>
                </c:pt>
                <c:pt idx="33">
                  <c:v>92.85090000000001</c:v>
                </c:pt>
                <c:pt idx="34">
                  <c:v>92.85090000000001</c:v>
                </c:pt>
                <c:pt idx="35">
                  <c:v>92.85090000000001</c:v>
                </c:pt>
                <c:pt idx="36">
                  <c:v>92.85090000000001</c:v>
                </c:pt>
                <c:pt idx="37">
                  <c:v>92.85090000000001</c:v>
                </c:pt>
                <c:pt idx="38">
                  <c:v>92.85090000000001</c:v>
                </c:pt>
                <c:pt idx="39">
                  <c:v>92.85090000000001</c:v>
                </c:pt>
                <c:pt idx="40">
                  <c:v>92.85090000000001</c:v>
                </c:pt>
                <c:pt idx="41">
                  <c:v>92.85090000000001</c:v>
                </c:pt>
                <c:pt idx="42">
                  <c:v>92.85090000000001</c:v>
                </c:pt>
                <c:pt idx="43">
                  <c:v>92.85090000000001</c:v>
                </c:pt>
                <c:pt idx="44">
                  <c:v>92.85090000000001</c:v>
                </c:pt>
                <c:pt idx="45">
                  <c:v>92.85090000000001</c:v>
                </c:pt>
                <c:pt idx="46">
                  <c:v>92.85090000000001</c:v>
                </c:pt>
                <c:pt idx="47">
                  <c:v>92.85090000000001</c:v>
                </c:pt>
                <c:pt idx="48">
                  <c:v>92.85090000000001</c:v>
                </c:pt>
                <c:pt idx="49">
                  <c:v>92.85090000000001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2C-49A9-8D92-838BA578F8BF}"/>
            </c:ext>
          </c:extLst>
        </c:ser>
        <c:ser>
          <c:idx val="4"/>
          <c:order val="4"/>
          <c:tx>
            <c:strRef>
              <c:f>'Instructor Course Information'!$J$16</c:f>
              <c:strCache>
                <c:ptCount val="1"/>
                <c:pt idx="0">
                  <c:v>Your Desired GPA EMA</c:v>
                </c:pt>
              </c:strCache>
            </c:strRef>
          </c:tx>
          <c:xVal>
            <c:numRef>
              <c:f>'Instructor Calculations'!$G$5:$G$54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13.1</c:v>
                </c:pt>
                <c:pt idx="7">
                  <c:v>16.100000000000001</c:v>
                </c:pt>
                <c:pt idx="8">
                  <c:v>16.100000000000001</c:v>
                </c:pt>
                <c:pt idx="9">
                  <c:v>20.100000000000001</c:v>
                </c:pt>
                <c:pt idx="10">
                  <c:v>24.1</c:v>
                </c:pt>
                <c:pt idx="11">
                  <c:v>26.35</c:v>
                </c:pt>
                <c:pt idx="12">
                  <c:v>26.35</c:v>
                </c:pt>
                <c:pt idx="13">
                  <c:v>43.35</c:v>
                </c:pt>
                <c:pt idx="14">
                  <c:v>43.35</c:v>
                </c:pt>
                <c:pt idx="15">
                  <c:v>43.35</c:v>
                </c:pt>
                <c:pt idx="16">
                  <c:v>43.35</c:v>
                </c:pt>
                <c:pt idx="17">
                  <c:v>45.75</c:v>
                </c:pt>
                <c:pt idx="18">
                  <c:v>49.75</c:v>
                </c:pt>
                <c:pt idx="19">
                  <c:v>49.75</c:v>
                </c:pt>
                <c:pt idx="20">
                  <c:v>53.75</c:v>
                </c:pt>
                <c:pt idx="21">
                  <c:v>56</c:v>
                </c:pt>
                <c:pt idx="22">
                  <c:v>58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xVal>
          <c:yVal>
            <c:numRef>
              <c:f>'Instructor Calculations'!$W$5:$W$54</c:f>
              <c:numCache>
                <c:formatCode>0.00</c:formatCode>
                <c:ptCount val="50"/>
                <c:pt idx="0">
                  <c:v>1.5</c:v>
                </c:pt>
                <c:pt idx="1">
                  <c:v>3.5</c:v>
                </c:pt>
                <c:pt idx="2">
                  <c:v>5.0999999999999996</c:v>
                </c:pt>
                <c:pt idx="3">
                  <c:v>8.4319999999999986</c:v>
                </c:pt>
                <c:pt idx="4">
                  <c:v>8.9319999999999986</c:v>
                </c:pt>
                <c:pt idx="5">
                  <c:v>9.4319999999999986</c:v>
                </c:pt>
                <c:pt idx="6">
                  <c:v>13.431999999999999</c:v>
                </c:pt>
                <c:pt idx="7">
                  <c:v>16.431999999999999</c:v>
                </c:pt>
                <c:pt idx="8">
                  <c:v>16.431999999999999</c:v>
                </c:pt>
                <c:pt idx="9">
                  <c:v>20.431999999999999</c:v>
                </c:pt>
                <c:pt idx="10">
                  <c:v>24.431999999999999</c:v>
                </c:pt>
                <c:pt idx="11">
                  <c:v>26.681999999999999</c:v>
                </c:pt>
                <c:pt idx="12">
                  <c:v>26.681999999999999</c:v>
                </c:pt>
                <c:pt idx="13">
                  <c:v>43.880899999999997</c:v>
                </c:pt>
                <c:pt idx="14">
                  <c:v>44.380899999999997</c:v>
                </c:pt>
                <c:pt idx="15">
                  <c:v>44.880899999999997</c:v>
                </c:pt>
                <c:pt idx="16">
                  <c:v>45.380899999999997</c:v>
                </c:pt>
                <c:pt idx="17">
                  <c:v>47.780899999999995</c:v>
                </c:pt>
                <c:pt idx="18">
                  <c:v>51.880899999999997</c:v>
                </c:pt>
                <c:pt idx="19">
                  <c:v>52.380899999999997</c:v>
                </c:pt>
                <c:pt idx="20">
                  <c:v>54.780899999999995</c:v>
                </c:pt>
                <c:pt idx="21">
                  <c:v>56.130899999999997</c:v>
                </c:pt>
                <c:pt idx="22">
                  <c:v>58.130899999999997</c:v>
                </c:pt>
                <c:pt idx="23">
                  <c:v>92.150900000000007</c:v>
                </c:pt>
                <c:pt idx="24">
                  <c:v>92.85090000000001</c:v>
                </c:pt>
                <c:pt idx="25">
                  <c:v>92.85090000000001</c:v>
                </c:pt>
                <c:pt idx="26">
                  <c:v>92.85090000000001</c:v>
                </c:pt>
                <c:pt idx="27">
                  <c:v>92.85090000000001</c:v>
                </c:pt>
                <c:pt idx="28">
                  <c:v>92.85090000000001</c:v>
                </c:pt>
                <c:pt idx="29">
                  <c:v>92.85090000000001</c:v>
                </c:pt>
                <c:pt idx="30">
                  <c:v>92.85090000000001</c:v>
                </c:pt>
                <c:pt idx="31">
                  <c:v>92.85090000000001</c:v>
                </c:pt>
                <c:pt idx="32">
                  <c:v>92.85090000000001</c:v>
                </c:pt>
                <c:pt idx="33">
                  <c:v>92.85090000000001</c:v>
                </c:pt>
                <c:pt idx="34">
                  <c:v>92.85090000000001</c:v>
                </c:pt>
                <c:pt idx="35">
                  <c:v>92.85090000000001</c:v>
                </c:pt>
                <c:pt idx="36">
                  <c:v>92.85090000000001</c:v>
                </c:pt>
                <c:pt idx="37">
                  <c:v>92.85090000000001</c:v>
                </c:pt>
                <c:pt idx="38">
                  <c:v>92.85090000000001</c:v>
                </c:pt>
                <c:pt idx="39">
                  <c:v>92.85090000000001</c:v>
                </c:pt>
                <c:pt idx="40">
                  <c:v>92.85090000000001</c:v>
                </c:pt>
                <c:pt idx="41">
                  <c:v>92.85090000000001</c:v>
                </c:pt>
                <c:pt idx="42">
                  <c:v>92.85090000000001</c:v>
                </c:pt>
                <c:pt idx="43">
                  <c:v>92.85090000000001</c:v>
                </c:pt>
                <c:pt idx="44">
                  <c:v>92.85090000000001</c:v>
                </c:pt>
                <c:pt idx="45">
                  <c:v>92.85090000000001</c:v>
                </c:pt>
                <c:pt idx="46">
                  <c:v>92.85090000000001</c:v>
                </c:pt>
                <c:pt idx="47">
                  <c:v>92.85090000000001</c:v>
                </c:pt>
                <c:pt idx="48">
                  <c:v>92.85090000000001</c:v>
                </c:pt>
                <c:pt idx="49">
                  <c:v>92.85090000000001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2C-49A9-8D92-838BA578F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1664"/>
        <c:axId val="475702448"/>
      </c:scatterChart>
      <c:valAx>
        <c:axId val="475701664"/>
        <c:scaling>
          <c:orientation val="minMax"/>
          <c:max val="10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crossAx val="475702448"/>
        <c:crosses val="autoZero"/>
        <c:crossBetween val="midCat"/>
      </c:valAx>
      <c:valAx>
        <c:axId val="475702448"/>
        <c:scaling>
          <c:orientation val="minMax"/>
          <c:max val="100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75701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24</xdr:row>
          <xdr:rowOff>171450</xdr:rowOff>
        </xdr:from>
        <xdr:to>
          <xdr:col>9</xdr:col>
          <xdr:colOff>38100</xdr:colOff>
          <xdr:row>28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"Previous Performance"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Default Settings (????)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Default EMA store Directory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3</xdr:row>
      <xdr:rowOff>38101</xdr:rowOff>
    </xdr:from>
    <xdr:to>
      <xdr:col>15</xdr:col>
      <xdr:colOff>148167</xdr:colOff>
      <xdr:row>25</xdr:row>
      <xdr:rowOff>19051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3</xdr:row>
      <xdr:rowOff>47626</xdr:rowOff>
    </xdr:from>
    <xdr:to>
      <xdr:col>16</xdr:col>
      <xdr:colOff>28575</xdr:colOff>
      <xdr:row>25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57151</xdr:colOff>
      <xdr:row>3</xdr:row>
      <xdr:rowOff>28575</xdr:rowOff>
    </xdr:from>
    <xdr:to>
      <xdr:col>16</xdr:col>
      <xdr:colOff>647700</xdr:colOff>
      <xdr:row>25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38101</xdr:colOff>
      <xdr:row>5</xdr:row>
      <xdr:rowOff>28575</xdr:rowOff>
    </xdr:from>
    <xdr:to>
      <xdr:col>18</xdr:col>
      <xdr:colOff>9525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19050</xdr:rowOff>
        </xdr:from>
        <xdr:to>
          <xdr:col>25</xdr:col>
          <xdr:colOff>0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66675</xdr:rowOff>
        </xdr:from>
        <xdr:to>
          <xdr:col>12</xdr:col>
          <xdr:colOff>0</xdr:colOff>
          <xdr:row>13</xdr:row>
          <xdr:rowOff>114300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36</xdr:row>
          <xdr:rowOff>200025</xdr:rowOff>
        </xdr:from>
        <xdr:to>
          <xdr:col>11</xdr:col>
          <xdr:colOff>209550</xdr:colOff>
          <xdr:row>38</xdr:row>
          <xdr:rowOff>28575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23</xdr:row>
          <xdr:rowOff>209550</xdr:rowOff>
        </xdr:from>
        <xdr:to>
          <xdr:col>11</xdr:col>
          <xdr:colOff>285750</xdr:colOff>
          <xdr:row>24</xdr:row>
          <xdr:rowOff>228600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PostQuiz3_EMA.csv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36</xdr:row>
          <xdr:rowOff>200025</xdr:rowOff>
        </xdr:from>
        <xdr:to>
          <xdr:col>24</xdr:col>
          <xdr:colOff>323850</xdr:colOff>
          <xdr:row>38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PostQuiz4_EMA.csv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12</xdr:row>
          <xdr:rowOff>180975</xdr:rowOff>
        </xdr:from>
        <xdr:to>
          <xdr:col>24</xdr:col>
          <xdr:colOff>200025</xdr:colOff>
          <xdr:row>14</xdr:row>
          <xdr:rowOff>19050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48</xdr:row>
          <xdr:rowOff>47625</xdr:rowOff>
        </xdr:from>
        <xdr:to>
          <xdr:col>11</xdr:col>
          <xdr:colOff>285750</xdr:colOff>
          <xdr:row>49</xdr:row>
          <xdr:rowOff>19050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PostMidterm2_EMA.csv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23</xdr:row>
          <xdr:rowOff>161925</xdr:rowOff>
        </xdr:from>
        <xdr:to>
          <xdr:col>24</xdr:col>
          <xdr:colOff>381000</xdr:colOff>
          <xdr:row>25</xdr:row>
          <xdr:rowOff>9525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 prepare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PreFinal_EMA.csv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D2L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9525</xdr:rowOff>
        </xdr:from>
        <xdr:to>
          <xdr:col>11</xdr:col>
          <xdr:colOff>0</xdr:colOff>
          <xdr:row>6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7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1A: Set component names, completion dates, percentage, (bonus), last year's average.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1B:  Set lower limit on GPA range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1C: Change Graph Labels if necessary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27</xdr:row>
          <xdr:rowOff>28575</xdr:rowOff>
        </xdr:from>
        <xdr:to>
          <xdr:col>18</xdr:col>
          <xdr:colOff>190500</xdr:colOff>
          <xdr:row>34</xdr:row>
          <xdr:rowOff>38100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7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sheets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making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47625</xdr:rowOff>
        </xdr:from>
        <xdr:to>
          <xdr:col>11</xdr:col>
          <xdr:colOff>0</xdr:colOff>
          <xdr:row>30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7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6A: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(NOT 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38100</xdr:rowOff>
        </xdr:from>
        <xdr:to>
          <xdr:col>11</xdr:col>
          <xdr:colOff>0</xdr:colOff>
          <xdr:row>26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7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4: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reset  ???? markers in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"Planning", "Tracking" and "Desired"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18</xdr:col>
          <xdr:colOff>190500</xdr:colOff>
          <xdr:row>21</xdr:row>
          <xdr:rowOff>76200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7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3: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Click for to reset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"Student Previous Performance"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22</xdr:row>
          <xdr:rowOff>28575</xdr:rowOff>
        </xdr:from>
        <xdr:to>
          <xdr:col>18</xdr:col>
          <xdr:colOff>190500</xdr:colOff>
          <xdr:row>26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7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5: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clean student 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by deleting all unused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17</xdr:row>
          <xdr:rowOff>9525</xdr:rowOff>
        </xdr:from>
        <xdr:to>
          <xdr:col>11</xdr:col>
          <xdr:colOff>0</xdr:colOff>
          <xdr:row>21</xdr:row>
          <xdr:rowOff>85725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7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INSTRUCTOR ONLY STEP 2: 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Copy "Course information"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"Reordered", then re-order by Date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Then copy "Reordered" to "Calculations"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31</xdr:row>
          <xdr:rowOff>0</xdr:rowOff>
        </xdr:from>
        <xdr:to>
          <xdr:col>11</xdr:col>
          <xdr:colOff>0</xdr:colOff>
          <xdr:row>34</xdr:row>
          <xdr:rowOff>28575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7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6B:  Click to lock sheet 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before distributing to students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(PASSWORD PROTECTED)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27</xdr:row>
          <xdr:rowOff>0</xdr:rowOff>
        </xdr:from>
        <xdr:to>
          <xdr:col>21</xdr:col>
          <xdr:colOff>0</xdr:colOff>
          <xdr:row>30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7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31</xdr:row>
          <xdr:rowOff>0</xdr:rowOff>
        </xdr:from>
        <xdr:to>
          <xdr:col>21</xdr:col>
          <xdr:colOff>0</xdr:colOff>
          <xdr:row>33</xdr:row>
          <xdr:rowOff>180975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7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"Unhide" of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eea2014.wordpress.com/monday/afternoon-sessions-i/" TargetMode="External"/><Relationship Id="rId2" Type="http://schemas.openxmlformats.org/officeDocument/2006/relationships/hyperlink" Target="http://people.ucalgary.ca/~smithmr/2014webs/encm511_14/AssignmentsQuizDetails/EarnedMarkAnalysis/ceea2014_submission_55.pdf" TargetMode="External"/><Relationship Id="rId1" Type="http://schemas.openxmlformats.org/officeDocument/2006/relationships/hyperlink" Target="http://people.ucalgary.ca/~smithmr/2014webs/encm511_14/AssignmentsQuizDetails/EarnedMarkAnalysis/Smith_EMA_asee1999preprint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66FF"/>
  </sheetPr>
  <dimension ref="A1:M20"/>
  <sheetViews>
    <sheetView workbookViewId="0">
      <selection activeCell="C19" sqref="C19"/>
    </sheetView>
  </sheetViews>
  <sheetFormatPr defaultRowHeight="61.5" x14ac:dyDescent="0.9"/>
  <cols>
    <col min="7" max="7" width="10.5703125" customWidth="1"/>
    <col min="14" max="16384" width="9.140625" style="348"/>
  </cols>
  <sheetData>
    <row r="1" spans="1:13" x14ac:dyDescent="0.9">
      <c r="A1" s="493" t="s">
        <v>191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4"/>
      <c r="M1" s="494"/>
    </row>
    <row r="2" spans="1:13" s="349" customFormat="1" ht="20.25" customHeight="1" thickBot="1" x14ac:dyDescent="0.3"/>
    <row r="3" spans="1:13" ht="41.25" customHeight="1" thickTop="1" thickBot="1" x14ac:dyDescent="0.95">
      <c r="D3" s="495" t="s">
        <v>192</v>
      </c>
      <c r="E3" s="496"/>
      <c r="F3" s="496"/>
      <c r="G3" s="496"/>
      <c r="H3" s="496"/>
      <c r="I3" s="496"/>
      <c r="J3" s="497"/>
    </row>
    <row r="4" spans="1:13" customFormat="1" ht="63.75" customHeight="1" thickTop="1" thickBot="1" x14ac:dyDescent="0.3">
      <c r="D4" s="498" t="s">
        <v>195</v>
      </c>
      <c r="E4" s="499"/>
      <c r="F4" s="499"/>
      <c r="G4" s="499"/>
      <c r="H4" s="499"/>
      <c r="I4" s="499"/>
      <c r="J4" s="500"/>
    </row>
    <row r="5" spans="1:13" customFormat="1" ht="16.5" thickTop="1" thickBot="1" x14ac:dyDescent="0.3">
      <c r="D5" s="501" t="s">
        <v>196</v>
      </c>
      <c r="E5" s="502"/>
      <c r="F5" s="502"/>
      <c r="G5" s="502"/>
      <c r="H5" s="502"/>
      <c r="I5" s="502"/>
      <c r="J5" s="503"/>
    </row>
    <row r="6" spans="1:13" customFormat="1" ht="16.5" thickTop="1" thickBot="1" x14ac:dyDescent="0.3">
      <c r="D6" s="5"/>
      <c r="E6" s="5"/>
      <c r="F6" s="5"/>
      <c r="G6" s="5"/>
      <c r="H6" s="5"/>
      <c r="I6" s="5"/>
      <c r="J6" s="5"/>
    </row>
    <row r="7" spans="1:13" customFormat="1" ht="15.75" thickTop="1" x14ac:dyDescent="0.25">
      <c r="D7" s="485" t="s">
        <v>197</v>
      </c>
      <c r="E7" s="486"/>
      <c r="F7" s="486"/>
      <c r="G7" s="486"/>
      <c r="H7" s="486"/>
      <c r="I7" s="486"/>
      <c r="J7" s="507"/>
    </row>
    <row r="8" spans="1:13" customFormat="1" ht="48" customHeight="1" x14ac:dyDescent="0.25">
      <c r="D8" s="504" t="s">
        <v>199</v>
      </c>
      <c r="E8" s="505"/>
      <c r="F8" s="505"/>
      <c r="G8" s="505"/>
      <c r="H8" s="505"/>
      <c r="I8" s="505"/>
      <c r="J8" s="506"/>
    </row>
    <row r="9" spans="1:13" customFormat="1" ht="30.75" customHeight="1" thickBot="1" x14ac:dyDescent="0.3">
      <c r="D9" s="490" t="s">
        <v>200</v>
      </c>
      <c r="E9" s="491"/>
      <c r="F9" s="491"/>
      <c r="G9" s="491"/>
      <c r="H9" s="491"/>
      <c r="I9" s="491"/>
      <c r="J9" s="492"/>
    </row>
    <row r="10" spans="1:13" customFormat="1" ht="15.75" thickTop="1" x14ac:dyDescent="0.25">
      <c r="E10" s="5"/>
      <c r="F10" s="5"/>
      <c r="G10" s="5"/>
      <c r="H10" s="5"/>
      <c r="I10" s="5"/>
      <c r="J10" s="5"/>
      <c r="M10" s="350"/>
    </row>
    <row r="11" spans="1:13" customFormat="1" ht="15.75" thickBot="1" x14ac:dyDescent="0.3">
      <c r="D11" s="351"/>
      <c r="E11" s="5"/>
      <c r="F11" s="5"/>
      <c r="G11" s="5"/>
      <c r="H11" s="5"/>
      <c r="I11" s="5"/>
      <c r="J11" s="5"/>
      <c r="M11" s="350"/>
    </row>
    <row r="12" spans="1:13" customFormat="1" ht="15.75" thickTop="1" x14ac:dyDescent="0.25">
      <c r="D12" s="485" t="s">
        <v>198</v>
      </c>
      <c r="E12" s="486"/>
      <c r="F12" s="483" t="s">
        <v>193</v>
      </c>
      <c r="G12" s="483"/>
      <c r="H12" s="483"/>
      <c r="I12" s="483"/>
      <c r="J12" s="484"/>
      <c r="M12" s="351"/>
    </row>
    <row r="13" spans="1:13" customFormat="1" ht="15.75" thickBot="1" x14ac:dyDescent="0.3">
      <c r="D13" s="487" t="s">
        <v>194</v>
      </c>
      <c r="E13" s="488"/>
      <c r="F13" s="488"/>
      <c r="G13" s="488"/>
      <c r="H13" s="488"/>
      <c r="I13" s="488"/>
      <c r="J13" s="489"/>
    </row>
    <row r="14" spans="1:13" customFormat="1" ht="15.75" thickTop="1" x14ac:dyDescent="0.25"/>
    <row r="15" spans="1:13" customFormat="1" ht="15" x14ac:dyDescent="0.25"/>
    <row r="16" spans="1:13" customFormat="1" ht="15" x14ac:dyDescent="0.25"/>
    <row r="17" customFormat="1" ht="15" x14ac:dyDescent="0.25"/>
    <row r="18" customFormat="1" ht="15" x14ac:dyDescent="0.25"/>
    <row r="20" customFormat="1" ht="15" x14ac:dyDescent="0.25"/>
  </sheetData>
  <sheetProtection password="C8A7" sheet="1" objects="1" scenarios="1"/>
  <mergeCells count="10">
    <mergeCell ref="F12:J12"/>
    <mergeCell ref="D12:E12"/>
    <mergeCell ref="D13:J13"/>
    <mergeCell ref="D9:J9"/>
    <mergeCell ref="A1:M1"/>
    <mergeCell ref="D3:J3"/>
    <mergeCell ref="D4:J4"/>
    <mergeCell ref="D5:J5"/>
    <mergeCell ref="D8:J8"/>
    <mergeCell ref="D7:J7"/>
  </mergeCells>
  <hyperlinks>
    <hyperlink ref="D4" r:id="rId1" display="http://people.ucalgary.ca/~smithmr/2014webs/encm511_14/AssignmentsQuizDetails/EarnedMarkAnalysis/Smith_EMA_asee1999preprint.pdf" xr:uid="{00000000-0004-0000-0000-000000000000}"/>
    <hyperlink ref="D8" r:id="rId2" display="http://people.ucalgary.ca/~smithmr/2014webs/encm511_14/AssignmentsQuizDetails/EarnedMarkAnalysis/ceea2014_submission_55.pdf" xr:uid="{00000000-0004-0000-0000-000001000000}"/>
    <hyperlink ref="D9" r:id="rId3" display="http://ceea2014.wordpress.com/monday/afternoon-sessions-i/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O37"/>
  <sheetViews>
    <sheetView zoomScale="90" zoomScaleNormal="90" zoomScalePageLayoutView="150" workbookViewId="0">
      <pane ySplit="20" topLeftCell="A21" activePane="bottomLeft" state="frozen"/>
      <selection pane="bottomLeft" activeCell="F14" sqref="F14"/>
    </sheetView>
  </sheetViews>
  <sheetFormatPr defaultColWidth="8.85546875" defaultRowHeight="15" x14ac:dyDescent="0.25"/>
  <cols>
    <col min="1" max="1" width="11.7109375" customWidth="1"/>
    <col min="3" max="3" width="11.28515625" customWidth="1"/>
    <col min="4" max="4" width="10.85546875" customWidth="1"/>
    <col min="6" max="6" width="7.85546875" customWidth="1"/>
    <col min="7" max="7" width="12.140625" customWidth="1"/>
    <col min="9" max="9" width="13.140625" customWidth="1"/>
    <col min="11" max="11" width="15.7109375" customWidth="1"/>
  </cols>
  <sheetData>
    <row r="1" spans="1:15" ht="23.25" x14ac:dyDescent="0.35">
      <c r="A1" s="231" t="s">
        <v>64</v>
      </c>
      <c r="C1" s="231"/>
      <c r="D1" s="231"/>
      <c r="E1" s="48" t="str">
        <f>'Instructor Course Information'!J1</f>
        <v>WDS:511</v>
      </c>
      <c r="F1" s="269"/>
      <c r="G1" s="51"/>
      <c r="H1" s="230" t="s">
        <v>230</v>
      </c>
      <c r="I1" s="230"/>
      <c r="J1" s="230"/>
      <c r="K1" s="230"/>
      <c r="L1" s="51"/>
    </row>
    <row r="2" spans="1:15" ht="18.75" customHeight="1" thickBot="1" x14ac:dyDescent="0.35">
      <c r="A2" s="230" t="s">
        <v>150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</row>
    <row r="3" spans="1:15" ht="15.75" thickTop="1" x14ac:dyDescent="0.25">
      <c r="A3" s="52" t="s">
        <v>84</v>
      </c>
      <c r="B3" s="53" t="s">
        <v>92</v>
      </c>
      <c r="C3" s="53"/>
      <c r="D3" s="53"/>
      <c r="E3" s="53"/>
      <c r="F3" s="53"/>
      <c r="G3" s="53"/>
      <c r="H3" s="53"/>
      <c r="I3" s="53"/>
      <c r="J3" s="53"/>
      <c r="K3" s="54"/>
    </row>
    <row r="4" spans="1:15" x14ac:dyDescent="0.25">
      <c r="A4" s="55" t="s">
        <v>86</v>
      </c>
      <c r="B4" s="56" t="s">
        <v>164</v>
      </c>
      <c r="C4" s="56"/>
      <c r="D4" s="56"/>
      <c r="E4" s="56"/>
      <c r="F4" s="56"/>
      <c r="G4" s="56"/>
      <c r="H4" s="56"/>
      <c r="I4" s="56"/>
      <c r="J4" s="56"/>
      <c r="K4" s="57"/>
    </row>
    <row r="5" spans="1:15" x14ac:dyDescent="0.25">
      <c r="A5" s="55" t="s">
        <v>87</v>
      </c>
      <c r="B5" s="56" t="s">
        <v>91</v>
      </c>
      <c r="C5" s="56"/>
      <c r="D5" s="56"/>
      <c r="E5" s="56"/>
      <c r="F5" s="56"/>
      <c r="G5" s="56"/>
      <c r="H5" s="56"/>
      <c r="I5" s="56"/>
      <c r="J5" s="56"/>
      <c r="K5" s="57"/>
    </row>
    <row r="6" spans="1:15" x14ac:dyDescent="0.25">
      <c r="A6" s="55" t="s">
        <v>88</v>
      </c>
      <c r="B6" s="56" t="s">
        <v>90</v>
      </c>
      <c r="C6" s="56"/>
      <c r="D6" s="56"/>
      <c r="E6" s="56"/>
      <c r="F6" s="56"/>
      <c r="G6" s="56"/>
      <c r="H6" s="56"/>
      <c r="I6" s="56"/>
      <c r="J6" s="56"/>
      <c r="K6" s="57"/>
    </row>
    <row r="7" spans="1:15" x14ac:dyDescent="0.25">
      <c r="A7" s="55" t="s">
        <v>89</v>
      </c>
      <c r="B7" s="56" t="s">
        <v>166</v>
      </c>
      <c r="C7" s="56"/>
      <c r="D7" s="56"/>
      <c r="E7" s="56"/>
      <c r="F7" s="56"/>
      <c r="G7" s="56"/>
      <c r="H7" s="56"/>
      <c r="I7" s="56"/>
      <c r="J7" s="58"/>
      <c r="K7" s="59"/>
      <c r="M7" s="44"/>
      <c r="N7" s="44"/>
      <c r="O7" s="44"/>
    </row>
    <row r="8" spans="1:15" hidden="1" x14ac:dyDescent="0.25">
      <c r="A8" s="60"/>
      <c r="B8" s="56"/>
      <c r="C8" s="58"/>
      <c r="D8" s="56"/>
      <c r="E8" s="56"/>
      <c r="F8" s="56"/>
      <c r="G8" s="56"/>
      <c r="H8" s="56"/>
      <c r="I8" s="56"/>
      <c r="J8" s="56"/>
      <c r="K8" s="57"/>
    </row>
    <row r="9" spans="1:15" x14ac:dyDescent="0.25">
      <c r="A9" s="61" t="s">
        <v>93</v>
      </c>
      <c r="B9" s="56" t="s">
        <v>94</v>
      </c>
      <c r="C9" s="56"/>
      <c r="D9" s="56"/>
      <c r="E9" s="56"/>
      <c r="F9" s="56"/>
      <c r="G9" s="56"/>
      <c r="H9" s="56"/>
      <c r="I9" s="56"/>
      <c r="J9" s="56"/>
      <c r="K9" s="57"/>
    </row>
    <row r="10" spans="1:15" x14ac:dyDescent="0.25">
      <c r="A10" s="60"/>
      <c r="B10" s="56"/>
      <c r="C10" s="56" t="s">
        <v>95</v>
      </c>
      <c r="D10" s="56"/>
      <c r="E10" s="56"/>
      <c r="F10" s="245">
        <f>'Instructor Course Information'!C2/100</f>
        <v>0.02</v>
      </c>
      <c r="G10" s="56" t="s">
        <v>165</v>
      </c>
      <c r="H10" s="56"/>
      <c r="I10" s="56"/>
      <c r="J10" s="56"/>
      <c r="K10" s="57"/>
    </row>
    <row r="11" spans="1:15" hidden="1" x14ac:dyDescent="0.25">
      <c r="A11" s="60"/>
      <c r="B11" s="56"/>
      <c r="C11" s="56"/>
      <c r="D11" s="56"/>
      <c r="E11" s="56"/>
      <c r="F11" s="56"/>
      <c r="G11" s="56"/>
      <c r="H11" s="56"/>
      <c r="I11" s="56"/>
      <c r="J11" s="56"/>
      <c r="K11" s="57"/>
    </row>
    <row r="12" spans="1:15" x14ac:dyDescent="0.25">
      <c r="A12" s="61" t="s">
        <v>97</v>
      </c>
      <c r="B12" s="62"/>
      <c r="C12" s="62"/>
      <c r="D12" s="56"/>
      <c r="E12" s="56"/>
      <c r="F12" s="56"/>
      <c r="G12" s="56"/>
      <c r="H12" s="56"/>
      <c r="I12" s="56"/>
      <c r="J12" s="56"/>
      <c r="K12" s="57"/>
    </row>
    <row r="13" spans="1:15" x14ac:dyDescent="0.25">
      <c r="A13" s="60"/>
      <c r="B13" s="62" t="s">
        <v>96</v>
      </c>
      <c r="C13" s="56" t="s">
        <v>98</v>
      </c>
      <c r="D13" s="56"/>
      <c r="E13" s="56"/>
      <c r="F13" s="56"/>
      <c r="G13" s="56"/>
      <c r="H13" s="56"/>
      <c r="I13" s="56"/>
      <c r="J13" s="56"/>
      <c r="K13" s="57"/>
    </row>
    <row r="14" spans="1:15" x14ac:dyDescent="0.25">
      <c r="A14" s="60"/>
      <c r="B14" s="56"/>
      <c r="C14" s="56"/>
      <c r="D14" s="56" t="s">
        <v>99</v>
      </c>
      <c r="E14" s="56"/>
      <c r="F14" s="56"/>
      <c r="G14" s="56"/>
      <c r="H14" s="56"/>
      <c r="I14" s="56"/>
      <c r="J14" s="56"/>
      <c r="K14" s="57"/>
    </row>
    <row r="15" spans="1:15" x14ac:dyDescent="0.25">
      <c r="A15" s="60"/>
      <c r="B15" s="62" t="s">
        <v>100</v>
      </c>
      <c r="C15" s="56" t="s">
        <v>101</v>
      </c>
      <c r="D15" s="56"/>
      <c r="E15" s="56"/>
      <c r="F15" s="56"/>
      <c r="G15" s="56"/>
      <c r="H15" s="56"/>
      <c r="I15" s="56"/>
      <c r="J15" s="56"/>
      <c r="K15" s="57"/>
    </row>
    <row r="16" spans="1:15" x14ac:dyDescent="0.25">
      <c r="A16" s="63" t="s">
        <v>102</v>
      </c>
      <c r="B16" s="56"/>
      <c r="C16" s="56"/>
      <c r="D16" s="56"/>
      <c r="E16" s="56"/>
      <c r="F16" s="56"/>
      <c r="G16" s="56"/>
      <c r="H16" s="56"/>
      <c r="I16" s="56"/>
      <c r="J16" s="56"/>
      <c r="K16" s="57"/>
    </row>
    <row r="17" spans="1:11" hidden="1" x14ac:dyDescent="0.25">
      <c r="A17" s="64"/>
      <c r="B17" s="56"/>
      <c r="C17" s="56"/>
      <c r="D17" s="56"/>
      <c r="E17" s="56"/>
      <c r="F17" s="56"/>
      <c r="G17" s="56"/>
      <c r="H17" s="56"/>
      <c r="I17" s="56"/>
      <c r="J17" s="56"/>
      <c r="K17" s="57"/>
    </row>
    <row r="18" spans="1:11" ht="15.75" thickBot="1" x14ac:dyDescent="0.3">
      <c r="A18" s="65" t="s">
        <v>109</v>
      </c>
      <c r="B18" s="66" t="s">
        <v>110</v>
      </c>
      <c r="C18" s="66"/>
      <c r="D18" s="66"/>
      <c r="E18" s="66"/>
      <c r="F18" s="66"/>
      <c r="G18" s="66"/>
      <c r="H18" s="66"/>
      <c r="I18" s="66"/>
      <c r="J18" s="66"/>
      <c r="K18" s="67"/>
    </row>
    <row r="19" spans="1:11" ht="16.5" hidden="1" thickTop="1" thickBot="1" x14ac:dyDescent="0.3">
      <c r="A19" s="68"/>
      <c r="B19" s="69"/>
      <c r="C19" s="69"/>
      <c r="D19" s="69"/>
      <c r="E19" s="69"/>
      <c r="F19" s="69"/>
      <c r="G19" s="69"/>
      <c r="H19" s="69"/>
      <c r="I19" s="69"/>
      <c r="J19" s="69"/>
      <c r="K19" s="69"/>
    </row>
    <row r="20" spans="1:11" ht="16.5" hidden="1" thickTop="1" thickBot="1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</row>
    <row r="21" spans="1:11" ht="16.5" thickTop="1" thickBot="1" x14ac:dyDescent="0.3">
      <c r="A21" s="246" t="s">
        <v>167</v>
      </c>
      <c r="B21" s="246"/>
      <c r="C21" s="75"/>
      <c r="D21" s="75"/>
      <c r="E21" s="75"/>
      <c r="F21" s="508" t="s">
        <v>234</v>
      </c>
      <c r="G21" s="509"/>
      <c r="H21" s="509"/>
      <c r="I21" s="509"/>
      <c r="J21" s="509"/>
      <c r="K21" s="510"/>
    </row>
    <row r="22" spans="1:11" ht="16.5" hidden="1" thickTop="1" thickBot="1" x14ac:dyDescent="0.3"/>
    <row r="23" spans="1:11" ht="16.5" thickTop="1" x14ac:dyDescent="0.25">
      <c r="A23" s="138"/>
      <c r="B23" s="136"/>
      <c r="C23" s="137" t="s">
        <v>163</v>
      </c>
      <c r="D23" s="136"/>
      <c r="E23" s="54"/>
    </row>
    <row r="24" spans="1:11" ht="16.5" thickBot="1" x14ac:dyDescent="0.3">
      <c r="A24" s="139"/>
      <c r="B24" s="140"/>
      <c r="C24" s="141" t="s">
        <v>162</v>
      </c>
      <c r="D24" s="140"/>
      <c r="E24" s="67"/>
    </row>
    <row r="25" spans="1:11" ht="15.75" thickTop="1" x14ac:dyDescent="0.25">
      <c r="A25" s="71" t="s">
        <v>38</v>
      </c>
      <c r="B25" s="72"/>
      <c r="C25" s="72"/>
      <c r="D25" s="56"/>
      <c r="E25" s="155">
        <v>20</v>
      </c>
    </row>
    <row r="26" spans="1:11" x14ac:dyDescent="0.25">
      <c r="A26" s="71" t="s">
        <v>39</v>
      </c>
      <c r="B26" s="72"/>
      <c r="C26" s="72"/>
      <c r="D26" s="56"/>
      <c r="E26" s="155">
        <v>20</v>
      </c>
    </row>
    <row r="27" spans="1:11" x14ac:dyDescent="0.25">
      <c r="A27" s="71" t="s">
        <v>40</v>
      </c>
      <c r="B27" s="72"/>
      <c r="C27" s="72"/>
      <c r="D27" s="56"/>
      <c r="E27" s="155">
        <v>15</v>
      </c>
    </row>
    <row r="28" spans="1:11" x14ac:dyDescent="0.25">
      <c r="A28" s="71" t="s">
        <v>35</v>
      </c>
      <c r="B28" s="72"/>
      <c r="C28" s="72"/>
      <c r="D28" s="56"/>
      <c r="E28" s="155">
        <v>10</v>
      </c>
    </row>
    <row r="29" spans="1:11" x14ac:dyDescent="0.25">
      <c r="A29" s="71" t="s">
        <v>36</v>
      </c>
      <c r="B29" s="72"/>
      <c r="C29" s="72"/>
      <c r="D29" s="56"/>
      <c r="E29" s="155">
        <v>10</v>
      </c>
      <c r="J29" s="40"/>
    </row>
    <row r="30" spans="1:11" ht="15.75" thickBot="1" x14ac:dyDescent="0.3">
      <c r="A30" s="71" t="s">
        <v>37</v>
      </c>
      <c r="B30" s="72"/>
      <c r="C30" s="72"/>
      <c r="D30" s="56"/>
      <c r="E30" s="155">
        <v>15</v>
      </c>
      <c r="J30" s="40"/>
    </row>
    <row r="31" spans="1:11" ht="15.75" thickTop="1" x14ac:dyDescent="0.25">
      <c r="A31" s="71" t="s">
        <v>115</v>
      </c>
      <c r="B31" s="72"/>
      <c r="C31" s="72"/>
      <c r="D31" s="56"/>
      <c r="E31" s="155">
        <v>15</v>
      </c>
      <c r="G31" s="208"/>
      <c r="H31" s="209" t="s">
        <v>144</v>
      </c>
      <c r="I31" s="210"/>
      <c r="K31" s="461" t="s">
        <v>210</v>
      </c>
    </row>
    <row r="32" spans="1:11" ht="15.75" thickBot="1" x14ac:dyDescent="0.3">
      <c r="A32" s="73" t="s">
        <v>85</v>
      </c>
      <c r="B32" s="74"/>
      <c r="C32" s="74"/>
      <c r="D32" s="66"/>
      <c r="E32" s="155">
        <v>15</v>
      </c>
      <c r="G32" s="211"/>
      <c r="H32" s="212" t="s">
        <v>145</v>
      </c>
      <c r="I32" s="213"/>
      <c r="K32" s="461" t="s">
        <v>211</v>
      </c>
    </row>
    <row r="33" spans="1:12" ht="16.5" thickTop="1" thickBot="1" x14ac:dyDescent="0.3">
      <c r="G33" s="511" t="str">
        <f>ReturnWorksheetDirectory()</f>
        <v>C:\Users\aidan\OneDrive - University of Calgary\ENCM511_Fall2019</v>
      </c>
      <c r="H33" s="502"/>
      <c r="I33" s="503"/>
      <c r="K33" s="461" t="s">
        <v>212</v>
      </c>
    </row>
    <row r="34" spans="1:12" ht="16.5" thickTop="1" thickBot="1" x14ac:dyDescent="0.3">
      <c r="G34" s="139"/>
      <c r="H34" s="232" t="s">
        <v>152</v>
      </c>
      <c r="I34" s="233"/>
    </row>
    <row r="35" spans="1:12" ht="15.75" thickTop="1" x14ac:dyDescent="0.25"/>
    <row r="36" spans="1:12" ht="23.25" x14ac:dyDescent="0.35">
      <c r="A36" s="453"/>
      <c r="B36" s="454"/>
      <c r="C36" s="454"/>
      <c r="D36" s="454"/>
      <c r="E36" s="454"/>
      <c r="F36" s="454"/>
      <c r="G36" s="455" t="s">
        <v>208</v>
      </c>
      <c r="H36" s="454"/>
      <c r="I36" s="454"/>
      <c r="J36" s="454"/>
      <c r="K36" s="454"/>
      <c r="L36" s="456"/>
    </row>
    <row r="37" spans="1:12" ht="23.25" x14ac:dyDescent="0.35">
      <c r="A37" s="457"/>
      <c r="B37" s="458"/>
      <c r="C37" s="458"/>
      <c r="D37" s="458"/>
      <c r="E37" s="458"/>
      <c r="F37" s="458"/>
      <c r="G37" s="459" t="s">
        <v>209</v>
      </c>
      <c r="H37" s="458"/>
      <c r="I37" s="458"/>
      <c r="J37" s="458"/>
      <c r="K37" s="458"/>
      <c r="L37" s="460"/>
    </row>
  </sheetData>
  <sheetProtection algorithmName="SHA-512" hashValue="Pw3SztGhbeu+kACZYRnkB6dNcg5FduvynX06cjgCgmQoNRJ5l0sJi+2Tj7rIYVsNSCyGDyu4/rBDU9QKmh8V9g==" saltValue="U+w2OWcP9gEErYoxczvMcw==" spinCount="100000" sheet="1" objects="1" scenarios="1"/>
  <mergeCells count="2">
    <mergeCell ref="F21:K21"/>
    <mergeCell ref="G33:I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setPreviousPerformance">
                <anchor moveWithCells="1" sizeWithCells="1">
                  <from>
                    <xdr:col>6</xdr:col>
                    <xdr:colOff>28575</xdr:colOff>
                    <xdr:row>24</xdr:row>
                    <xdr:rowOff>171450</xdr:rowOff>
                  </from>
                  <to>
                    <xdr:col>9</xdr:col>
                    <xdr:colOff>38100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6" tint="0.59999389629810485"/>
  </sheetPr>
  <dimension ref="A1:S68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29" sqref="L29"/>
    </sheetView>
  </sheetViews>
  <sheetFormatPr defaultColWidth="8.85546875" defaultRowHeight="15" x14ac:dyDescent="0.25"/>
  <cols>
    <col min="1" max="1" width="23.140625" customWidth="1"/>
    <col min="2" max="2" width="9.7109375" customWidth="1"/>
    <col min="3" max="3" width="6.42578125" customWidth="1"/>
    <col min="4" max="4" width="5.28515625" customWidth="1"/>
    <col min="5" max="5" width="5.85546875" customWidth="1"/>
    <col min="6" max="6" width="5.42578125" customWidth="1"/>
    <col min="12" max="12" width="15.42578125" customWidth="1"/>
    <col min="13" max="13" width="14.140625" bestFit="1" customWidth="1"/>
    <col min="14" max="14" width="6" customWidth="1"/>
    <col min="16" max="16" width="12.28515625" customWidth="1"/>
  </cols>
  <sheetData>
    <row r="1" spans="1:19" ht="27" thickBot="1" x14ac:dyDescent="0.45">
      <c r="A1" s="286" t="str">
        <f>'Instructor Course Information'!J1</f>
        <v>WDS:511</v>
      </c>
      <c r="B1" s="101" t="s">
        <v>118</v>
      </c>
      <c r="C1" s="86"/>
      <c r="D1" s="85"/>
      <c r="E1" s="87"/>
      <c r="F1" s="88"/>
      <c r="G1" s="88"/>
      <c r="H1" s="88"/>
      <c r="I1" s="88"/>
      <c r="J1" s="88"/>
      <c r="K1" s="89"/>
      <c r="L1" s="89"/>
      <c r="M1" s="89"/>
      <c r="N1" s="90"/>
    </row>
    <row r="2" spans="1:19" ht="15.75" hidden="1" thickBot="1" x14ac:dyDescent="0.3">
      <c r="A2" s="10"/>
      <c r="B2" s="11"/>
      <c r="C2" s="12"/>
      <c r="D2" s="13"/>
      <c r="E2" s="14"/>
      <c r="F2" s="15"/>
      <c r="G2" s="2"/>
      <c r="H2" s="2"/>
      <c r="P2" s="1"/>
    </row>
    <row r="3" spans="1:19" ht="61.5" customHeight="1" thickTop="1" thickBot="1" x14ac:dyDescent="0.3">
      <c r="A3" s="99" t="str">
        <f>'Instructor Calculations'!A4</f>
        <v>Course Components</v>
      </c>
      <c r="B3" s="100" t="str">
        <f>'Instructor Calculations'!B4</f>
        <v>Approximate Completion Date</v>
      </c>
      <c r="C3" s="100" t="str">
        <f>'Instructor Calculations'!C4</f>
        <v>Course Percentage</v>
      </c>
      <c r="D3" s="100" t="str">
        <f>'Instructor Calculations'!D4</f>
        <v>Bonus Percentage</v>
      </c>
      <c r="E3" s="100" t="str">
        <f>'Instructor Calculations'!E4</f>
        <v>2017 Rough class average</v>
      </c>
      <c r="F3" s="100" t="str">
        <f>'Instructor Calculations'!F4</f>
        <v>Predicted Mark</v>
      </c>
      <c r="G3" s="278" t="str">
        <f>'Instructor Calculations'!L4</f>
        <v>Predicted GPA</v>
      </c>
      <c r="H3" s="512" t="s">
        <v>187</v>
      </c>
      <c r="I3" s="496"/>
      <c r="J3" s="496"/>
      <c r="K3" s="496"/>
      <c r="L3" s="496"/>
      <c r="M3" s="279">
        <f>'Instructor Calculations'!K55</f>
        <v>81.099999999999994</v>
      </c>
      <c r="N3" s="270"/>
      <c r="O3" s="271" t="str">
        <f>'Instructor Calculations'!K56</f>
        <v>B+/A-/A</v>
      </c>
      <c r="P3" s="273"/>
    </row>
    <row r="4" spans="1:19" ht="17.25" customHeight="1" thickTop="1" x14ac:dyDescent="0.35">
      <c r="A4" s="76" t="str">
        <f>IF('Instructor Calculations'!A5="","",'Instructor Calculations'!A5)</f>
        <v>PreLab 0 Report/Demo</v>
      </c>
      <c r="B4" s="477">
        <f>IF('Instructor Calculations'!B5="","",'Instructor Calculations'!B5)</f>
        <v>43728</v>
      </c>
      <c r="C4" s="77">
        <f>IF('Instructor Calculations'!C5="","",'Instructor Calculations'!C5)</f>
        <v>1.5</v>
      </c>
      <c r="D4" s="77">
        <f>IF('Instructor Calculations'!D5="","",'Instructor Calculations'!D5)</f>
        <v>0</v>
      </c>
      <c r="E4" s="77">
        <f>IF('Instructor Calculations'!E5="","",'Instructor Calculations'!E5)</f>
        <v>80</v>
      </c>
      <c r="F4" s="77">
        <f>IF('Instructor Calculations'!F5="","",'Instructor Calculations'!F5)</f>
        <v>96</v>
      </c>
      <c r="G4" s="78" t="str">
        <f>IF('Instructor Calculations'!L5&lt;0.002,"",'Instructor Calculations'!L5)</f>
        <v>A+</v>
      </c>
      <c r="H4" s="2"/>
      <c r="I4" s="97"/>
      <c r="J4" s="98"/>
      <c r="K4" s="98"/>
      <c r="L4" s="1"/>
      <c r="M4" s="1"/>
      <c r="N4" s="1"/>
      <c r="O4" s="1"/>
      <c r="S4" s="46"/>
    </row>
    <row r="5" spans="1:19" x14ac:dyDescent="0.25">
      <c r="A5" s="76" t="str">
        <f>IF('Instructor Calculations'!A6="","",'Instructor Calculations'!A6)</f>
        <v>Initial EMA Submit</v>
      </c>
      <c r="B5" s="477">
        <f>IF('Instructor Calculations'!B6="","",'Instructor Calculations'!B6)</f>
        <v>43740</v>
      </c>
      <c r="C5" s="77">
        <f>IF('Instructor Calculations'!C6="","",'Instructor Calculations'!C6)</f>
        <v>2</v>
      </c>
      <c r="D5" s="77">
        <f>IF('Instructor Calculations'!D6="","",'Instructor Calculations'!D6)</f>
        <v>0</v>
      </c>
      <c r="E5" s="77">
        <f>IF('Instructor Calculations'!E6="","",'Instructor Calculations'!E6)</f>
        <v>75</v>
      </c>
      <c r="F5" s="77">
        <f>IF('Instructor Calculations'!F6="","",'Instructor Calculations'!F6)</f>
        <v>86.25</v>
      </c>
      <c r="G5" s="78" t="str">
        <f>IF('Instructor Calculations'!L6&lt;0.002,"",'Instructor Calculations'!L6)</f>
        <v>A-/A/A+</v>
      </c>
      <c r="H5" s="2"/>
      <c r="I5" s="2"/>
      <c r="J5" s="2"/>
      <c r="K5" s="1"/>
      <c r="L5" s="1"/>
      <c r="M5" s="1"/>
      <c r="N5" s="1"/>
      <c r="O5" s="1"/>
      <c r="P5" s="1"/>
    </row>
    <row r="6" spans="1:19" x14ac:dyDescent="0.25">
      <c r="A6" s="76" t="str">
        <f>IF('Instructor Calculations'!A7="","",'Instructor Calculations'!A7)</f>
        <v>Lab 0 Demo</v>
      </c>
      <c r="B6" s="477">
        <f>IF('Instructor Calculations'!B7="","",'Instructor Calculations'!B7)</f>
        <v>43740</v>
      </c>
      <c r="C6" s="77">
        <f>IF('Instructor Calculations'!C7="","",'Instructor Calculations'!C7)</f>
        <v>1.6</v>
      </c>
      <c r="D6" s="77">
        <f>IF('Instructor Calculations'!D7="","",'Instructor Calculations'!D7)</f>
        <v>0</v>
      </c>
      <c r="E6" s="77">
        <f>IF('Instructor Calculations'!E7="","",'Instructor Calculations'!E7)</f>
        <v>80</v>
      </c>
      <c r="F6" s="77">
        <f>IF('Instructor Calculations'!F7="","",'Instructor Calculations'!F7)</f>
        <v>96</v>
      </c>
      <c r="G6" s="78" t="str">
        <f>IF('Instructor Calculations'!L7&lt;0.002,"",'Instructor Calculations'!L7)</f>
        <v>A+</v>
      </c>
      <c r="H6" s="2"/>
      <c r="I6" s="2"/>
      <c r="J6" s="2"/>
      <c r="K6" s="1"/>
      <c r="L6" s="1"/>
      <c r="M6" s="1"/>
      <c r="N6" s="1"/>
      <c r="O6" s="1"/>
      <c r="P6" s="1"/>
    </row>
    <row r="7" spans="1:19" x14ac:dyDescent="0.25">
      <c r="A7" s="76" t="str">
        <f>IF('Instructor Calculations'!A8="","",'Instructor Calculations'!A8)</f>
        <v>Quiz 1</v>
      </c>
      <c r="B7" s="477">
        <f>IF('Instructor Calculations'!B8="","",'Instructor Calculations'!B8)</f>
        <v>43752</v>
      </c>
      <c r="C7" s="77">
        <f>IF('Instructor Calculations'!C8="","",'Instructor Calculations'!C8)</f>
        <v>4</v>
      </c>
      <c r="D7" s="77">
        <f>IF('Instructor Calculations'!D8="","",'Instructor Calculations'!D8)</f>
        <v>0</v>
      </c>
      <c r="E7" s="77">
        <f>IF('Instructor Calculations'!E8="","",'Instructor Calculations'!E8)</f>
        <v>65</v>
      </c>
      <c r="F7" s="77">
        <f>IF('Instructor Calculations'!F8="","",'Instructor Calculations'!F8)</f>
        <v>71.5</v>
      </c>
      <c r="G7" s="78" t="str">
        <f>IF('Instructor Calculations'!L8&lt;0.002,"",'Instructor Calculations'!L8)</f>
        <v>C/C+/B-</v>
      </c>
      <c r="H7" s="2"/>
      <c r="I7" s="2"/>
      <c r="J7" s="2"/>
      <c r="K7" s="1"/>
      <c r="L7" s="1"/>
      <c r="M7" s="1"/>
      <c r="N7" s="1"/>
      <c r="O7" s="1"/>
      <c r="P7" s="1"/>
    </row>
    <row r="8" spans="1:19" x14ac:dyDescent="0.25">
      <c r="A8" s="76" t="str">
        <f>IF('Instructor Calculations'!A9="","",'Instructor Calculations'!A9)</f>
        <v>In Quiz 1 prediction</v>
      </c>
      <c r="B8" s="477">
        <f>IF('Instructor Calculations'!B9="","",'Instructor Calculations'!B9)</f>
        <v>43752</v>
      </c>
      <c r="C8" s="77">
        <f>IF('Instructor Calculations'!C9="","",'Instructor Calculations'!C9)</f>
        <v>0</v>
      </c>
      <c r="D8" s="77">
        <f>IF('Instructor Calculations'!D9="","",'Instructor Calculations'!D9)</f>
        <v>0.5</v>
      </c>
      <c r="E8" s="77">
        <f>IF('Instructor Calculations'!E9="","",'Instructor Calculations'!E9)</f>
        <v>1E-3</v>
      </c>
      <c r="F8" s="77">
        <f>IF('Instructor Calculations'!F9="","",'Instructor Calculations'!F9)</f>
        <v>1.15E-3</v>
      </c>
      <c r="G8" s="78" t="str">
        <f>IF('Instructor Calculations'!L9&lt;0.002,"",'Instructor Calculations'!L9)</f>
        <v/>
      </c>
      <c r="H8" s="2"/>
      <c r="I8" s="2"/>
      <c r="J8" s="2"/>
      <c r="K8" s="1"/>
      <c r="L8" s="1"/>
      <c r="M8" s="1"/>
      <c r="N8" s="1"/>
      <c r="O8" s="1"/>
      <c r="P8" s="1"/>
    </row>
    <row r="9" spans="1:19" x14ac:dyDescent="0.25">
      <c r="A9" s="76" t="str">
        <f>IF('Instructor Calculations'!A10="","",'Instructor Calculations'!A10)</f>
        <v>Post Quiz 1 EMA Submit</v>
      </c>
      <c r="B9" s="477">
        <f>IF('Instructor Calculations'!B10="","",'Instructor Calculations'!B10)</f>
        <v>43753</v>
      </c>
      <c r="C9" s="77">
        <f>IF('Instructor Calculations'!C10="","",'Instructor Calculations'!C10)</f>
        <v>0</v>
      </c>
      <c r="D9" s="77">
        <f>IF('Instructor Calculations'!D10="","",'Instructor Calculations'!D10)</f>
        <v>0.5</v>
      </c>
      <c r="E9" s="77">
        <f>IF('Instructor Calculations'!E10="","",'Instructor Calculations'!E10)</f>
        <v>1E-3</v>
      </c>
      <c r="F9" s="77">
        <f>IF('Instructor Calculations'!F10="","",'Instructor Calculations'!F10)</f>
        <v>1.15E-3</v>
      </c>
      <c r="G9" s="78" t="str">
        <f>IF('Instructor Calculations'!L10&lt;0.002,"",'Instructor Calculations'!L10)</f>
        <v/>
      </c>
      <c r="H9" s="2"/>
      <c r="I9" s="2"/>
      <c r="J9" s="2"/>
      <c r="K9" s="1"/>
      <c r="L9" s="1"/>
      <c r="M9" s="1"/>
      <c r="N9" s="1"/>
      <c r="O9" s="1"/>
      <c r="P9" s="1"/>
    </row>
    <row r="10" spans="1:19" x14ac:dyDescent="0.25">
      <c r="A10" s="76" t="str">
        <f>IF('Instructor Calculations'!A11="","",'Instructor Calculations'!A11)</f>
        <v>Lab 1 Demo</v>
      </c>
      <c r="B10" s="477">
        <f>IF('Instructor Calculations'!B11="","",'Instructor Calculations'!B11)</f>
        <v>43754</v>
      </c>
      <c r="C10" s="77">
        <f>IF('Instructor Calculations'!C11="","",'Instructor Calculations'!C11)</f>
        <v>4</v>
      </c>
      <c r="D10" s="77">
        <f>IF('Instructor Calculations'!D11="","",'Instructor Calculations'!D11)</f>
        <v>0</v>
      </c>
      <c r="E10" s="77">
        <f>IF('Instructor Calculations'!E11="","",'Instructor Calculations'!E11)</f>
        <v>80</v>
      </c>
      <c r="F10" s="77">
        <f>IF('Instructor Calculations'!F11="","",'Instructor Calculations'!F11)</f>
        <v>96</v>
      </c>
      <c r="G10" s="78" t="str">
        <f>IF('Instructor Calculations'!L11&lt;0.002,"",'Instructor Calculations'!L11)</f>
        <v>A+</v>
      </c>
      <c r="H10" s="2"/>
      <c r="I10" s="2"/>
      <c r="J10" s="2"/>
      <c r="K10" s="1"/>
      <c r="L10" s="1"/>
      <c r="M10" s="1"/>
      <c r="N10" s="1"/>
      <c r="O10" s="1"/>
      <c r="P10" s="1"/>
    </row>
    <row r="11" spans="1:19" x14ac:dyDescent="0.25">
      <c r="A11" s="76" t="str">
        <f>IF('Instructor Calculations'!A12="","",'Instructor Calculations'!A12)</f>
        <v>Assignment 1</v>
      </c>
      <c r="B11" s="477">
        <f>IF('Instructor Calculations'!B12="","",'Instructor Calculations'!B12)</f>
        <v>43758</v>
      </c>
      <c r="C11" s="77">
        <f>IF('Instructor Calculations'!C12="","",'Instructor Calculations'!C12)</f>
        <v>3</v>
      </c>
      <c r="D11" s="77">
        <f>IF('Instructor Calculations'!D12="","",'Instructor Calculations'!D12)</f>
        <v>0</v>
      </c>
      <c r="E11" s="77">
        <f>IF('Instructor Calculations'!E12="","",'Instructor Calculations'!E12)</f>
        <v>80</v>
      </c>
      <c r="F11" s="77">
        <f>IF('Instructor Calculations'!F12="","",'Instructor Calculations'!F12)</f>
        <v>92</v>
      </c>
      <c r="G11" s="78" t="str">
        <f>IF('Instructor Calculations'!L12&lt;0.002,"",'Instructor Calculations'!L12)</f>
        <v>A+</v>
      </c>
      <c r="H11" s="2"/>
      <c r="I11" s="2"/>
      <c r="J11" s="2"/>
      <c r="K11" s="1"/>
      <c r="L11" s="1"/>
      <c r="M11" s="1"/>
      <c r="N11" s="1"/>
      <c r="O11" s="1"/>
      <c r="P11" s="1"/>
    </row>
    <row r="12" spans="1:19" x14ac:dyDescent="0.25">
      <c r="A12" s="76" t="str">
        <f>IF('Instructor Calculations'!A13="","",'Instructor Calculations'!A13)</f>
        <v>Assign 1 Early Bonus</v>
      </c>
      <c r="B12" s="477">
        <f>IF('Instructor Calculations'!B13="","",'Instructor Calculations'!B13)</f>
        <v>43758</v>
      </c>
      <c r="C12" s="77">
        <f>IF('Instructor Calculations'!C13="","",'Instructor Calculations'!C13)</f>
        <v>0</v>
      </c>
      <c r="D12" s="77">
        <f>IF('Instructor Calculations'!D13="","",'Instructor Calculations'!D13)</f>
        <v>0.5</v>
      </c>
      <c r="E12" s="77">
        <f>IF('Instructor Calculations'!E13="","",'Instructor Calculations'!E13)</f>
        <v>1E-3</v>
      </c>
      <c r="F12" s="77">
        <f>IF('Instructor Calculations'!F13="","",'Instructor Calculations'!F13)</f>
        <v>1.15E-3</v>
      </c>
      <c r="G12" s="78" t="str">
        <f>IF('Instructor Calculations'!L13&lt;0.002,"",'Instructor Calculations'!L13)</f>
        <v/>
      </c>
      <c r="H12" s="2"/>
      <c r="I12" s="2"/>
      <c r="J12" s="2"/>
      <c r="K12" s="1"/>
      <c r="L12" s="1"/>
      <c r="M12" s="1"/>
      <c r="N12" s="1"/>
      <c r="O12" s="1"/>
      <c r="P12" s="1"/>
    </row>
    <row r="13" spans="1:19" x14ac:dyDescent="0.25">
      <c r="A13" s="76" t="str">
        <f>IF('Instructor Calculations'!A14="","",'Instructor Calculations'!A14)</f>
        <v>Assignment 2</v>
      </c>
      <c r="B13" s="477">
        <f>IF('Instructor Calculations'!B14="","",'Instructor Calculations'!B14)</f>
        <v>43767</v>
      </c>
      <c r="C13" s="77">
        <f>IF('Instructor Calculations'!C14="","",'Instructor Calculations'!C14)</f>
        <v>4</v>
      </c>
      <c r="D13" s="77">
        <f>IF('Instructor Calculations'!D14="","",'Instructor Calculations'!D14)</f>
        <v>0</v>
      </c>
      <c r="E13" s="77">
        <f>IF('Instructor Calculations'!E14="","",'Instructor Calculations'!E14)</f>
        <v>75</v>
      </c>
      <c r="F13" s="77">
        <f>IF('Instructor Calculations'!F14="","",'Instructor Calculations'!F14)</f>
        <v>86.25</v>
      </c>
      <c r="G13" s="78" t="str">
        <f>IF('Instructor Calculations'!L14&lt;0.002,"",'Instructor Calculations'!L14)</f>
        <v>A-/A/A+</v>
      </c>
      <c r="H13" s="2"/>
      <c r="I13" s="2"/>
      <c r="J13" s="2"/>
      <c r="K13" s="1"/>
      <c r="L13" s="1"/>
      <c r="M13" s="1"/>
      <c r="N13" s="1"/>
      <c r="O13" s="1"/>
      <c r="P13" s="1"/>
    </row>
    <row r="14" spans="1:19" x14ac:dyDescent="0.25">
      <c r="A14" s="76" t="str">
        <f>IF('Instructor Calculations'!A15="","",'Instructor Calculations'!A15)</f>
        <v>Lab 2 Demo</v>
      </c>
      <c r="B14" s="477">
        <f>IF('Instructor Calculations'!B15="","",'Instructor Calculations'!B15)</f>
        <v>43768</v>
      </c>
      <c r="C14" s="77">
        <f>IF('Instructor Calculations'!C15="","",'Instructor Calculations'!C15)</f>
        <v>4</v>
      </c>
      <c r="D14" s="77">
        <f>IF('Instructor Calculations'!D15="","",'Instructor Calculations'!D15)</f>
        <v>0</v>
      </c>
      <c r="E14" s="77">
        <f>IF('Instructor Calculations'!E15="","",'Instructor Calculations'!E15)</f>
        <v>80</v>
      </c>
      <c r="F14" s="77">
        <f>IF('Instructor Calculations'!F15="","",'Instructor Calculations'!F15)</f>
        <v>96</v>
      </c>
      <c r="G14" s="78" t="str">
        <f>IF('Instructor Calculations'!L15&lt;0.002,"",'Instructor Calculations'!L15)</f>
        <v>A+</v>
      </c>
      <c r="H14" s="2"/>
      <c r="I14" s="2"/>
      <c r="J14" s="2"/>
      <c r="K14" s="1"/>
      <c r="L14" s="1"/>
      <c r="M14" s="1"/>
      <c r="N14" s="1"/>
      <c r="O14" s="1"/>
      <c r="P14" s="1"/>
    </row>
    <row r="15" spans="1:19" x14ac:dyDescent="0.25">
      <c r="A15" s="76" t="str">
        <f>IF('Instructor Calculations'!A16="","",'Instructor Calculations'!A16)</f>
        <v>Lab  2 Report</v>
      </c>
      <c r="B15" s="477">
        <f>IF('Instructor Calculations'!B16="","",'Instructor Calculations'!B16)</f>
        <v>43768</v>
      </c>
      <c r="C15" s="77">
        <f>IF('Instructor Calculations'!C16="","",'Instructor Calculations'!C16)</f>
        <v>2.25</v>
      </c>
      <c r="D15" s="77">
        <f>IF('Instructor Calculations'!D16="","",'Instructor Calculations'!D16)</f>
        <v>0</v>
      </c>
      <c r="E15" s="77">
        <f>IF('Instructor Calculations'!E16="","",'Instructor Calculations'!E16)</f>
        <v>80</v>
      </c>
      <c r="F15" s="77">
        <f>IF('Instructor Calculations'!F16="","",'Instructor Calculations'!F16)</f>
        <v>96</v>
      </c>
      <c r="G15" s="78" t="str">
        <f>IF('Instructor Calculations'!L16&lt;0.002,"",'Instructor Calculations'!L16)</f>
        <v>A+</v>
      </c>
      <c r="H15" s="2"/>
      <c r="I15" s="2"/>
      <c r="J15" s="2"/>
      <c r="K15" s="1"/>
      <c r="L15" s="1"/>
      <c r="M15" s="1"/>
      <c r="N15" s="1"/>
      <c r="O15" s="1"/>
      <c r="P15" s="1"/>
    </row>
    <row r="16" spans="1:19" x14ac:dyDescent="0.25">
      <c r="A16" s="76" t="str">
        <f>IF('Instructor Calculations'!A17="","",'Instructor Calculations'!A17)</f>
        <v>Assign 2 Early Bonus</v>
      </c>
      <c r="B16" s="477">
        <f>IF('Instructor Calculations'!B17="","",'Instructor Calculations'!B17)</f>
        <v>43768</v>
      </c>
      <c r="C16" s="77">
        <f>IF('Instructor Calculations'!C17="","",'Instructor Calculations'!C17)</f>
        <v>0</v>
      </c>
      <c r="D16" s="77">
        <f>IF('Instructor Calculations'!D17="","",'Instructor Calculations'!D17)</f>
        <v>0.5</v>
      </c>
      <c r="E16" s="77">
        <f>IF('Instructor Calculations'!E17="","",'Instructor Calculations'!E17)</f>
        <v>1E-3</v>
      </c>
      <c r="F16" s="77">
        <f>IF('Instructor Calculations'!F17="","",'Instructor Calculations'!F17)</f>
        <v>1.15E-3</v>
      </c>
      <c r="G16" s="78" t="str">
        <f>IF('Instructor Calculations'!L17&lt;0.002,"",'Instructor Calculations'!L17)</f>
        <v/>
      </c>
      <c r="H16" s="2"/>
      <c r="I16" s="2"/>
      <c r="J16" s="2"/>
      <c r="K16" s="1"/>
      <c r="L16" s="1"/>
      <c r="M16" s="1"/>
      <c r="N16" s="1"/>
      <c r="O16" s="1"/>
      <c r="P16" s="1"/>
    </row>
    <row r="17" spans="1:16" x14ac:dyDescent="0.25">
      <c r="A17" s="76" t="str">
        <f>IF('Instructor Calculations'!A18="","",'Instructor Calculations'!A18)</f>
        <v>Midterm</v>
      </c>
      <c r="B17" s="477">
        <f>IF('Instructor Calculations'!B18="","",'Instructor Calculations'!B18)</f>
        <v>43769</v>
      </c>
      <c r="C17" s="77">
        <f>IF('Instructor Calculations'!C18="","",'Instructor Calculations'!C18)</f>
        <v>17</v>
      </c>
      <c r="D17" s="77">
        <f>IF('Instructor Calculations'!D18="","",'Instructor Calculations'!D18)</f>
        <v>0</v>
      </c>
      <c r="E17" s="77">
        <f>IF('Instructor Calculations'!E18="","",'Instructor Calculations'!E18)</f>
        <v>65</v>
      </c>
      <c r="F17" s="77">
        <f>IF('Instructor Calculations'!F18="","",'Instructor Calculations'!F18)</f>
        <v>71.5</v>
      </c>
      <c r="G17" s="78" t="str">
        <f>IF('Instructor Calculations'!L18&lt;0.002,"",'Instructor Calculations'!L18)</f>
        <v>C/C+/B-</v>
      </c>
      <c r="H17" s="2"/>
      <c r="I17" s="2"/>
      <c r="J17" s="2"/>
      <c r="K17" s="1"/>
      <c r="L17" s="1"/>
      <c r="M17" s="1"/>
      <c r="N17" s="1"/>
      <c r="O17" s="1"/>
      <c r="P17" s="1"/>
    </row>
    <row r="18" spans="1:16" x14ac:dyDescent="0.25">
      <c r="A18" s="76" t="str">
        <f>IF('Instructor Calculations'!A19="","",'Instructor Calculations'!A19)</f>
        <v>In Midterm prediction</v>
      </c>
      <c r="B18" s="477">
        <f>IF('Instructor Calculations'!B19="","",'Instructor Calculations'!B19)</f>
        <v>43769</v>
      </c>
      <c r="C18" s="77">
        <f>IF('Instructor Calculations'!C19="","",'Instructor Calculations'!C19)</f>
        <v>0</v>
      </c>
      <c r="D18" s="77">
        <f>IF('Instructor Calculations'!D19="","",'Instructor Calculations'!D19)</f>
        <v>0.5</v>
      </c>
      <c r="E18" s="77">
        <f>IF('Instructor Calculations'!E19="","",'Instructor Calculations'!E19)</f>
        <v>1E-3</v>
      </c>
      <c r="F18" s="77">
        <f>IF('Instructor Calculations'!F19="","",'Instructor Calculations'!F19)</f>
        <v>1.15E-3</v>
      </c>
      <c r="G18" s="78" t="str">
        <f>IF('Instructor Calculations'!L19&lt;0.002,"",'Instructor Calculations'!L19)</f>
        <v/>
      </c>
      <c r="H18" s="2"/>
      <c r="I18" s="2"/>
      <c r="J18" s="2"/>
      <c r="K18" s="1"/>
      <c r="L18" s="1"/>
      <c r="M18" s="1"/>
      <c r="N18" s="1"/>
      <c r="O18" s="1"/>
      <c r="P18" s="1"/>
    </row>
    <row r="19" spans="1:16" x14ac:dyDescent="0.25">
      <c r="A19" s="76" t="str">
        <f>IF('Instructor Calculations'!A20="","",'Instructor Calculations'!A20)</f>
        <v>Post Midterm EMA Submit</v>
      </c>
      <c r="B19" s="477">
        <f>IF('Instructor Calculations'!B20="","",'Instructor Calculations'!B20)</f>
        <v>43771</v>
      </c>
      <c r="C19" s="77">
        <f>IF('Instructor Calculations'!C20="","",'Instructor Calculations'!C20)</f>
        <v>0</v>
      </c>
      <c r="D19" s="77">
        <f>IF('Instructor Calculations'!D20="","",'Instructor Calculations'!D20)</f>
        <v>0.5</v>
      </c>
      <c r="E19" s="77">
        <f>IF('Instructor Calculations'!E20="","",'Instructor Calculations'!E20)</f>
        <v>1E-3</v>
      </c>
      <c r="F19" s="77">
        <f>IF('Instructor Calculations'!F20="","",'Instructor Calculations'!F20)</f>
        <v>1.15E-3</v>
      </c>
      <c r="G19" s="78" t="str">
        <f>IF('Instructor Calculations'!L20&lt;0.002,"",'Instructor Calculations'!L20)</f>
        <v/>
      </c>
      <c r="H19" s="2"/>
      <c r="I19" s="2"/>
      <c r="J19" s="2"/>
      <c r="K19" s="1"/>
      <c r="O19" s="1"/>
      <c r="P19" s="1"/>
    </row>
    <row r="20" spans="1:16" x14ac:dyDescent="0.25">
      <c r="A20" s="76" t="str">
        <f>IF('Instructor Calculations'!A21="","",'Instructor Calculations'!A21)</f>
        <v>Post Quiz 3 EMASubmit</v>
      </c>
      <c r="B20" s="477">
        <f>IF('Instructor Calculations'!B21="","",'Instructor Calculations'!B21)</f>
        <v>43789</v>
      </c>
      <c r="C20" s="77">
        <f>IF('Instructor Calculations'!C21="","",'Instructor Calculations'!C21)</f>
        <v>0</v>
      </c>
      <c r="D20" s="77">
        <f>IF('Instructor Calculations'!D21="","",'Instructor Calculations'!D21)</f>
        <v>0.5</v>
      </c>
      <c r="E20" s="77">
        <f>IF('Instructor Calculations'!E21="","",'Instructor Calculations'!E21)</f>
        <v>1E-3</v>
      </c>
      <c r="F20" s="77">
        <f>IF('Instructor Calculations'!F21="","",'Instructor Calculations'!F21)</f>
        <v>1.15E-3</v>
      </c>
      <c r="G20" s="78" t="str">
        <f>IF('Instructor Calculations'!L21&lt;0.002,"",'Instructor Calculations'!L21)</f>
        <v/>
      </c>
      <c r="H20" s="2"/>
      <c r="I20" s="2"/>
      <c r="J20" s="2"/>
      <c r="K20" s="1"/>
      <c r="L20" s="1"/>
      <c r="M20" s="1"/>
      <c r="N20" s="1"/>
      <c r="O20" s="1"/>
      <c r="P20" s="1"/>
    </row>
    <row r="21" spans="1:16" x14ac:dyDescent="0.25">
      <c r="A21" s="76" t="str">
        <f>IF('Instructor Calculations'!A22="","",'Instructor Calculations'!A22)</f>
        <v>Lab 3 Demo</v>
      </c>
      <c r="B21" s="477">
        <f>IF('Instructor Calculations'!B22="","",'Instructor Calculations'!B22)</f>
        <v>43789</v>
      </c>
      <c r="C21" s="77">
        <f>IF('Instructor Calculations'!C22="","",'Instructor Calculations'!C22)</f>
        <v>2.4</v>
      </c>
      <c r="D21" s="77">
        <f>IF('Instructor Calculations'!D22="","",'Instructor Calculations'!D22)</f>
        <v>0</v>
      </c>
      <c r="E21" s="77">
        <f>IF('Instructor Calculations'!E22="","",'Instructor Calculations'!E22)</f>
        <v>80</v>
      </c>
      <c r="F21" s="77">
        <f>IF('Instructor Calculations'!F22="","",'Instructor Calculations'!F22)</f>
        <v>96</v>
      </c>
      <c r="G21" s="78" t="str">
        <f>IF('Instructor Calculations'!L22&lt;0.002,"",'Instructor Calculations'!L22)</f>
        <v>A+</v>
      </c>
      <c r="H21" s="2"/>
      <c r="I21" s="2"/>
      <c r="J21" s="2"/>
      <c r="K21" s="1"/>
      <c r="L21" s="1"/>
      <c r="M21" s="1"/>
      <c r="N21" s="1"/>
      <c r="O21" s="1"/>
      <c r="P21" s="1"/>
    </row>
    <row r="22" spans="1:16" x14ac:dyDescent="0.25">
      <c r="A22" s="76" t="str">
        <f>IF('Instructor Calculations'!A23="","",'Instructor Calculations'!A23)</f>
        <v>Quiz 3</v>
      </c>
      <c r="B22" s="477">
        <f>IF('Instructor Calculations'!B23="","",'Instructor Calculations'!B23)</f>
        <v>43791</v>
      </c>
      <c r="C22" s="77">
        <f>IF('Instructor Calculations'!C23="","",'Instructor Calculations'!C23)</f>
        <v>4</v>
      </c>
      <c r="D22" s="77">
        <f>IF('Instructor Calculations'!D23="","",'Instructor Calculations'!D23)</f>
        <v>0</v>
      </c>
      <c r="E22" s="77">
        <f>IF('Instructor Calculations'!E23="","",'Instructor Calculations'!E23)</f>
        <v>65</v>
      </c>
      <c r="F22" s="77">
        <f>IF('Instructor Calculations'!F23="","",'Instructor Calculations'!F23)</f>
        <v>71.5</v>
      </c>
      <c r="G22" s="78" t="str">
        <f>IF('Instructor Calculations'!L23&lt;0.002,"",'Instructor Calculations'!L23)</f>
        <v>C/C+/B-</v>
      </c>
      <c r="H22" s="2"/>
      <c r="I22" s="2"/>
      <c r="J22" s="2"/>
      <c r="K22" s="1"/>
      <c r="L22" s="1"/>
      <c r="M22" s="1"/>
      <c r="N22" s="1"/>
      <c r="O22" s="1"/>
      <c r="P22" s="1"/>
    </row>
    <row r="23" spans="1:16" x14ac:dyDescent="0.25">
      <c r="A23" s="76" t="str">
        <f>IF('Instructor Calculations'!A24="","",'Instructor Calculations'!A24)</f>
        <v>In Quiz 3 prediction</v>
      </c>
      <c r="B23" s="477">
        <f>IF('Instructor Calculations'!B24="","",'Instructor Calculations'!B24)</f>
        <v>43791</v>
      </c>
      <c r="C23" s="77">
        <f>IF('Instructor Calculations'!C24="","",'Instructor Calculations'!C24)</f>
        <v>0</v>
      </c>
      <c r="D23" s="77">
        <f>IF('Instructor Calculations'!D24="","",'Instructor Calculations'!D24)</f>
        <v>0.5</v>
      </c>
      <c r="E23" s="77">
        <f>IF('Instructor Calculations'!E24="","",'Instructor Calculations'!E24)</f>
        <v>1E-3</v>
      </c>
      <c r="F23" s="77">
        <f>IF('Instructor Calculations'!F24="","",'Instructor Calculations'!F24)</f>
        <v>1.15E-3</v>
      </c>
      <c r="G23" s="78" t="str">
        <f>IF('Instructor Calculations'!L24&lt;0.002,"",'Instructor Calculations'!L24)</f>
        <v/>
      </c>
      <c r="H23" s="2"/>
      <c r="I23" s="2"/>
      <c r="J23" s="2"/>
      <c r="K23" s="1"/>
      <c r="L23" s="1"/>
      <c r="M23" s="1"/>
      <c r="N23" s="1"/>
      <c r="O23" s="1"/>
      <c r="P23" s="1"/>
    </row>
    <row r="24" spans="1:16" x14ac:dyDescent="0.25">
      <c r="A24" s="76" t="str">
        <f>IF('Instructor Calculations'!A25="","",'Instructor Calculations'!A25)</f>
        <v>Lab 4 Demo</v>
      </c>
      <c r="B24" s="477">
        <f>IF('Instructor Calculations'!B25="","",'Instructor Calculations'!B25)</f>
        <v>43802</v>
      </c>
      <c r="C24" s="77">
        <f>IF('Instructor Calculations'!C25="","",'Instructor Calculations'!C25)</f>
        <v>4</v>
      </c>
      <c r="D24" s="77">
        <f>IF('Instructor Calculations'!D25="","",'Instructor Calculations'!D25)</f>
        <v>0</v>
      </c>
      <c r="E24" s="77">
        <f>IF('Instructor Calculations'!E25="","",'Instructor Calculations'!E25)</f>
        <v>70</v>
      </c>
      <c r="F24" s="77">
        <f>IF('Instructor Calculations'!F25="","",'Instructor Calculations'!F25)</f>
        <v>84</v>
      </c>
      <c r="G24" s="78" t="str">
        <f>IF('Instructor Calculations'!L25&lt;0.002,"",'Instructor Calculations'!L25)</f>
        <v>B+/A-/A</v>
      </c>
      <c r="H24" s="2"/>
      <c r="I24" s="2"/>
      <c r="J24" s="2"/>
      <c r="K24" s="1"/>
      <c r="L24" s="1"/>
      <c r="M24" s="1"/>
      <c r="N24" s="1"/>
      <c r="O24" s="1"/>
      <c r="P24" s="1"/>
    </row>
    <row r="25" spans="1:16" x14ac:dyDescent="0.25">
      <c r="A25" s="76" t="str">
        <f>IF('Instructor Calculations'!A26="","",'Instructor Calculations'!A26)</f>
        <v>Lab 3/4 Report</v>
      </c>
      <c r="B25" s="477">
        <f>IF('Instructor Calculations'!B26="","",'Instructor Calculations'!B26)</f>
        <v>43804</v>
      </c>
      <c r="C25" s="77">
        <f>IF('Instructor Calculations'!C26="","",'Instructor Calculations'!C26)</f>
        <v>2.25</v>
      </c>
      <c r="D25" s="77">
        <f>IF('Instructor Calculations'!D26="","",'Instructor Calculations'!D26)</f>
        <v>0</v>
      </c>
      <c r="E25" s="77">
        <f>IF('Instructor Calculations'!E26="","",'Instructor Calculations'!E26)</f>
        <v>60</v>
      </c>
      <c r="F25" s="77">
        <f>IF('Instructor Calculations'!F26="","",'Instructor Calculations'!F26)</f>
        <v>72</v>
      </c>
      <c r="G25" s="78" t="str">
        <f>IF('Instructor Calculations'!L26&lt;0.002,"",'Instructor Calculations'!L26)</f>
        <v>C+/B-/B</v>
      </c>
      <c r="H25" s="2"/>
      <c r="I25" s="2"/>
      <c r="J25" s="2"/>
      <c r="K25" s="1"/>
      <c r="L25" s="1"/>
      <c r="M25" s="1"/>
      <c r="N25" s="1"/>
      <c r="O25" s="1"/>
      <c r="P25" s="1"/>
    </row>
    <row r="26" spans="1:16" ht="15.75" customHeight="1" x14ac:dyDescent="0.35">
      <c r="A26" s="76" t="str">
        <f>IF('Instructor Calculations'!A27="","",'Instructor Calculations'!A27)</f>
        <v>Pre Final EMA Submit</v>
      </c>
      <c r="B26" s="477">
        <f>IF('Instructor Calculations'!B27="","",'Instructor Calculations'!B27)</f>
        <v>43809</v>
      </c>
      <c r="C26" s="77">
        <f>IF('Instructor Calculations'!C27="","",'Instructor Calculations'!C27)</f>
        <v>2</v>
      </c>
      <c r="D26" s="77">
        <f>IF('Instructor Calculations'!D27="","",'Instructor Calculations'!D27)</f>
        <v>0</v>
      </c>
      <c r="E26" s="77">
        <f>IF('Instructor Calculations'!E27="","",'Instructor Calculations'!E27)</f>
        <v>60</v>
      </c>
      <c r="F26" s="77">
        <f>IF('Instructor Calculations'!F27="","",'Instructor Calculations'!F27)</f>
        <v>69</v>
      </c>
      <c r="G26" s="78" t="str">
        <f>IF('Instructor Calculations'!L27&lt;0.002,"",'Instructor Calculations'!L27)</f>
        <v>C/C+/B-</v>
      </c>
      <c r="H26" s="2"/>
      <c r="I26" s="47" t="s">
        <v>151</v>
      </c>
      <c r="J26" s="48"/>
      <c r="K26" s="48"/>
      <c r="L26" s="214"/>
      <c r="M26" s="1"/>
      <c r="N26" s="1"/>
      <c r="O26" s="1"/>
      <c r="P26" s="1"/>
    </row>
    <row r="27" spans="1:16" x14ac:dyDescent="0.25">
      <c r="A27" s="76" t="str">
        <f>IF('Instructor Calculations'!A28="","",'Instructor Calculations'!A28)</f>
        <v>Final Exam</v>
      </c>
      <c r="B27" s="477">
        <f>IF('Instructor Calculations'!B28="","",'Instructor Calculations'!B28)</f>
        <v>43814</v>
      </c>
      <c r="C27" s="77">
        <f>IF('Instructor Calculations'!C28="","",'Instructor Calculations'!C28)</f>
        <v>42</v>
      </c>
      <c r="D27" s="77">
        <f>IF('Instructor Calculations'!D28="","",'Instructor Calculations'!D28)</f>
        <v>0</v>
      </c>
      <c r="E27" s="77">
        <f>IF('Instructor Calculations'!E28="","",'Instructor Calculations'!E28)</f>
        <v>70</v>
      </c>
      <c r="F27" s="77">
        <f>IF('Instructor Calculations'!F28="","",'Instructor Calculations'!F28)</f>
        <v>80.5</v>
      </c>
      <c r="G27" s="78" t="str">
        <f>IF('Instructor Calculations'!L28&lt;0.002,"",'Instructor Calculations'!L28)</f>
        <v>B/B+/A-</v>
      </c>
      <c r="H27" s="2"/>
      <c r="I27" s="2"/>
      <c r="J27" s="2"/>
      <c r="K27" s="1"/>
      <c r="L27" s="1"/>
      <c r="M27" s="1"/>
      <c r="N27" s="1"/>
      <c r="O27" s="1"/>
      <c r="P27" s="1"/>
    </row>
    <row r="28" spans="1:16" ht="15.75" customHeight="1" x14ac:dyDescent="0.25">
      <c r="A28" s="76" t="str">
        <f>IF('Instructor Calculations'!A29="","",'Instructor Calculations'!A29)</f>
        <v>In Final Exam prediction</v>
      </c>
      <c r="B28" s="477">
        <f>IF('Instructor Calculations'!B29="","",'Instructor Calculations'!B29)</f>
        <v>43814</v>
      </c>
      <c r="C28" s="77">
        <f>IF('Instructor Calculations'!C29="","",'Instructor Calculations'!C29)</f>
        <v>0</v>
      </c>
      <c r="D28" s="77">
        <f>IF('Instructor Calculations'!D29="","",'Instructor Calculations'!D29)</f>
        <v>1</v>
      </c>
      <c r="E28" s="77">
        <f>IF('Instructor Calculations'!E29="","",'Instructor Calculations'!E29)</f>
        <v>1E-3</v>
      </c>
      <c r="F28" s="77">
        <f>IF('Instructor Calculations'!F29="","",'Instructor Calculations'!F29)</f>
        <v>1.15E-3</v>
      </c>
      <c r="G28" s="78" t="str">
        <f>IF('Instructor Calculations'!L29&lt;0.002,"",'Instructor Calculations'!L29)</f>
        <v/>
      </c>
      <c r="H28" s="2"/>
      <c r="M28" s="1"/>
      <c r="N28" s="1"/>
      <c r="O28" s="1"/>
      <c r="P28" s="1"/>
    </row>
    <row r="29" spans="1:16" x14ac:dyDescent="0.25">
      <c r="A29" s="76" t="str">
        <f>IF('Instructor Calculations'!A30="","",'Instructor Calculations'!A30)</f>
        <v/>
      </c>
      <c r="B29" s="477" t="str">
        <f>IF('Instructor Calculations'!B30="","",'Instructor Calculations'!B30)</f>
        <v/>
      </c>
      <c r="C29" s="77" t="str">
        <f>IF('Instructor Calculations'!C30="","",'Instructor Calculations'!C30)</f>
        <v/>
      </c>
      <c r="D29" s="77" t="str">
        <f>IF('Instructor Calculations'!D30="","",'Instructor Calculations'!D30)</f>
        <v/>
      </c>
      <c r="E29" s="77" t="str">
        <f>IF('Instructor Calculations'!E30="","",'Instructor Calculations'!E30)</f>
        <v/>
      </c>
      <c r="F29" s="77" t="str">
        <f>IF('Instructor Calculations'!F30="","",'Instructor Calculations'!F30)</f>
        <v/>
      </c>
      <c r="G29" s="78" t="str">
        <f>IF('Instructor Calculations'!L30&lt;0.002,"",'Instructor Calculations'!L30)</f>
        <v/>
      </c>
      <c r="H29" s="2"/>
      <c r="I29" s="2"/>
      <c r="J29" s="2"/>
      <c r="K29" s="1"/>
      <c r="L29" s="1"/>
      <c r="M29" s="1"/>
      <c r="N29" s="1"/>
      <c r="O29" s="1"/>
      <c r="P29" s="1"/>
    </row>
    <row r="30" spans="1:16" x14ac:dyDescent="0.25">
      <c r="A30" s="76" t="str">
        <f>IF('Instructor Calculations'!A31="","",'Instructor Calculations'!A31)</f>
        <v/>
      </c>
      <c r="B30" s="477" t="str">
        <f>IF('Instructor Calculations'!B31="","",'Instructor Calculations'!B31)</f>
        <v/>
      </c>
      <c r="C30" s="77" t="str">
        <f>IF('Instructor Calculations'!C31="","",'Instructor Calculations'!C31)</f>
        <v/>
      </c>
      <c r="D30" s="77" t="str">
        <f>IF('Instructor Calculations'!D31="","",'Instructor Calculations'!D31)</f>
        <v/>
      </c>
      <c r="E30" s="77" t="str">
        <f>IF('Instructor Calculations'!E31="","",'Instructor Calculations'!E31)</f>
        <v/>
      </c>
      <c r="F30" s="77" t="str">
        <f>IF('Instructor Calculations'!F31="","",'Instructor Calculations'!F31)</f>
        <v/>
      </c>
      <c r="G30" s="78" t="str">
        <f>IF('Instructor Calculations'!L31&lt;0.002,"",'Instructor Calculations'!L31)</f>
        <v/>
      </c>
      <c r="H30" s="2"/>
      <c r="I30" s="2"/>
      <c r="J30" s="2"/>
      <c r="K30" s="1"/>
      <c r="L30" s="1"/>
      <c r="M30" s="1"/>
      <c r="N30" s="1"/>
      <c r="O30" s="1"/>
      <c r="P30" s="1"/>
    </row>
    <row r="31" spans="1:16" x14ac:dyDescent="0.25">
      <c r="A31" s="76" t="str">
        <f>IF('Instructor Calculations'!A32="","",'Instructor Calculations'!A32)</f>
        <v/>
      </c>
      <c r="B31" s="477" t="str">
        <f>IF('Instructor Calculations'!B32="","",'Instructor Calculations'!B32)</f>
        <v/>
      </c>
      <c r="C31" s="77" t="str">
        <f>IF('Instructor Calculations'!C32="","",'Instructor Calculations'!C32)</f>
        <v/>
      </c>
      <c r="D31" s="77" t="str">
        <f>IF('Instructor Calculations'!D32="","",'Instructor Calculations'!D32)</f>
        <v/>
      </c>
      <c r="E31" s="77" t="str">
        <f>IF('Instructor Calculations'!E32="","",'Instructor Calculations'!E32)</f>
        <v/>
      </c>
      <c r="F31" s="77" t="str">
        <f>IF('Instructor Calculations'!F32="","",'Instructor Calculations'!F32)</f>
        <v/>
      </c>
      <c r="G31" s="78" t="str">
        <f>IF('Instructor Calculations'!L32&lt;0.002,"",'Instructor Calculations'!L32)</f>
        <v/>
      </c>
      <c r="H31" s="2"/>
      <c r="I31" s="2"/>
      <c r="J31" s="2"/>
      <c r="K31" s="1"/>
      <c r="L31" s="1"/>
      <c r="M31" s="1"/>
      <c r="N31" s="1"/>
      <c r="O31" s="1"/>
      <c r="P31" s="1"/>
    </row>
    <row r="32" spans="1:16" x14ac:dyDescent="0.25">
      <c r="A32" s="76" t="str">
        <f>IF('Instructor Calculations'!A33="","",'Instructor Calculations'!A33)</f>
        <v/>
      </c>
      <c r="B32" s="477" t="str">
        <f>IF('Instructor Calculations'!B33="","",'Instructor Calculations'!B33)</f>
        <v/>
      </c>
      <c r="C32" s="77" t="str">
        <f>IF('Instructor Calculations'!C33="","",'Instructor Calculations'!C33)</f>
        <v/>
      </c>
      <c r="D32" s="77" t="str">
        <f>IF('Instructor Calculations'!D33="","",'Instructor Calculations'!D33)</f>
        <v/>
      </c>
      <c r="E32" s="77" t="str">
        <f>IF('Instructor Calculations'!E33="","",'Instructor Calculations'!E33)</f>
        <v/>
      </c>
      <c r="F32" s="77" t="str">
        <f>IF('Instructor Calculations'!F33="","",'Instructor Calculations'!F33)</f>
        <v/>
      </c>
      <c r="G32" s="78" t="str">
        <f>IF('Instructor Calculations'!L33&lt;0.002,"",'Instructor Calculations'!L33)</f>
        <v/>
      </c>
      <c r="H32" s="2"/>
      <c r="I32" s="2"/>
      <c r="J32" s="2"/>
      <c r="K32" s="1"/>
      <c r="L32" s="1"/>
      <c r="M32" s="1"/>
      <c r="N32" s="1"/>
      <c r="O32" s="1"/>
      <c r="P32" s="1"/>
    </row>
    <row r="33" spans="1:16" x14ac:dyDescent="0.25">
      <c r="A33" s="76" t="str">
        <f>IF('Instructor Calculations'!A34="","",'Instructor Calculations'!A34)</f>
        <v/>
      </c>
      <c r="B33" s="477" t="str">
        <f>IF('Instructor Calculations'!B34="","",'Instructor Calculations'!B34)</f>
        <v/>
      </c>
      <c r="C33" s="77" t="str">
        <f>IF('Instructor Calculations'!C34="","",'Instructor Calculations'!C34)</f>
        <v/>
      </c>
      <c r="D33" s="77" t="str">
        <f>IF('Instructor Calculations'!D34="","",'Instructor Calculations'!D34)</f>
        <v/>
      </c>
      <c r="E33" s="77" t="str">
        <f>IF('Instructor Calculations'!E34="","",'Instructor Calculations'!E34)</f>
        <v/>
      </c>
      <c r="F33" s="77" t="str">
        <f>IF('Instructor Calculations'!F34="","",'Instructor Calculations'!F34)</f>
        <v/>
      </c>
      <c r="G33" s="78" t="str">
        <f>IF('Instructor Calculations'!L34&lt;0.002,"",'Instructor Calculations'!L34)</f>
        <v/>
      </c>
      <c r="H33" s="2"/>
      <c r="I33" s="2"/>
      <c r="J33" s="2"/>
      <c r="K33" s="1"/>
      <c r="L33" s="1"/>
      <c r="M33" s="1"/>
      <c r="N33" s="1"/>
      <c r="O33" s="1"/>
      <c r="P33" s="1"/>
    </row>
    <row r="34" spans="1:16" x14ac:dyDescent="0.25">
      <c r="A34" s="76" t="str">
        <f>IF('Instructor Calculations'!A35="","",'Instructor Calculations'!A35)</f>
        <v/>
      </c>
      <c r="B34" s="477" t="str">
        <f>IF('Instructor Calculations'!B35="","",'Instructor Calculations'!B35)</f>
        <v/>
      </c>
      <c r="C34" s="77" t="str">
        <f>IF('Instructor Calculations'!C35="","",'Instructor Calculations'!C35)</f>
        <v/>
      </c>
      <c r="D34" s="77" t="str">
        <f>IF('Instructor Calculations'!D35="","",'Instructor Calculations'!D35)</f>
        <v/>
      </c>
      <c r="E34" s="77" t="str">
        <f>IF('Instructor Calculations'!E35="","",'Instructor Calculations'!E35)</f>
        <v/>
      </c>
      <c r="F34" s="77" t="str">
        <f>IF('Instructor Calculations'!F35="","",'Instructor Calculations'!F35)</f>
        <v/>
      </c>
      <c r="G34" s="78" t="str">
        <f>IF('Instructor Calculations'!L35&lt;0.002,"",'Instructor Calculations'!L35)</f>
        <v/>
      </c>
      <c r="H34" s="2"/>
      <c r="I34" s="2"/>
      <c r="J34" s="2"/>
      <c r="K34" s="1"/>
      <c r="L34" s="1"/>
      <c r="M34" s="1"/>
      <c r="N34" s="1"/>
      <c r="O34" s="1"/>
      <c r="P34" s="1"/>
    </row>
    <row r="35" spans="1:16" x14ac:dyDescent="0.25">
      <c r="A35" s="76" t="str">
        <f>IF('Instructor Calculations'!A36="","",'Instructor Calculations'!A36)</f>
        <v/>
      </c>
      <c r="B35" s="477" t="str">
        <f>IF('Instructor Calculations'!B36="","",'Instructor Calculations'!B36)</f>
        <v/>
      </c>
      <c r="C35" s="77" t="str">
        <f>IF('Instructor Calculations'!C36="","",'Instructor Calculations'!C36)</f>
        <v/>
      </c>
      <c r="D35" s="77" t="str">
        <f>IF('Instructor Calculations'!D36="","",'Instructor Calculations'!D36)</f>
        <v/>
      </c>
      <c r="E35" s="77" t="str">
        <f>IF('Instructor Calculations'!E36="","",'Instructor Calculations'!E36)</f>
        <v/>
      </c>
      <c r="F35" s="77" t="str">
        <f>IF('Instructor Calculations'!F36="","",'Instructor Calculations'!F36)</f>
        <v/>
      </c>
      <c r="G35" s="78" t="str">
        <f>IF('Instructor Calculations'!L36&lt;0.002,"",'Instructor Calculations'!L36)</f>
        <v/>
      </c>
      <c r="H35" s="2"/>
      <c r="I35" s="2"/>
      <c r="J35" s="2"/>
      <c r="K35" s="1"/>
      <c r="L35" s="1"/>
      <c r="M35" s="1"/>
      <c r="N35" s="1"/>
      <c r="O35" s="1"/>
      <c r="P35" s="1"/>
    </row>
    <row r="36" spans="1:16" x14ac:dyDescent="0.25">
      <c r="A36" s="76" t="str">
        <f>IF('Instructor Calculations'!A37="","",'Instructor Calculations'!A37)</f>
        <v/>
      </c>
      <c r="B36" s="477" t="str">
        <f>IF('Instructor Calculations'!B37="","",'Instructor Calculations'!B37)</f>
        <v/>
      </c>
      <c r="C36" s="77" t="str">
        <f>IF('Instructor Calculations'!C37="","",'Instructor Calculations'!C37)</f>
        <v/>
      </c>
      <c r="D36" s="77" t="str">
        <f>IF('Instructor Calculations'!D37="","",'Instructor Calculations'!D37)</f>
        <v/>
      </c>
      <c r="E36" s="77" t="str">
        <f>IF('Instructor Calculations'!E37="","",'Instructor Calculations'!E37)</f>
        <v/>
      </c>
      <c r="F36" s="77" t="str">
        <f>IF('Instructor Calculations'!F37="","",'Instructor Calculations'!F37)</f>
        <v/>
      </c>
      <c r="G36" s="78" t="str">
        <f>IF('Instructor Calculations'!L37&lt;0.002,"",'Instructor Calculations'!L37)</f>
        <v/>
      </c>
      <c r="H36" s="2"/>
      <c r="I36" s="2"/>
      <c r="J36" s="2"/>
      <c r="K36" s="1"/>
      <c r="L36" s="1"/>
      <c r="M36" s="1"/>
      <c r="N36" s="1"/>
      <c r="O36" s="1"/>
      <c r="P36" s="1"/>
    </row>
    <row r="37" spans="1:16" x14ac:dyDescent="0.25">
      <c r="A37" s="76" t="str">
        <f>IF('Instructor Calculations'!A38="","",'Instructor Calculations'!A38)</f>
        <v/>
      </c>
      <c r="B37" s="477" t="str">
        <f>IF('Instructor Calculations'!B38="","",'Instructor Calculations'!B38)</f>
        <v/>
      </c>
      <c r="C37" s="77" t="str">
        <f>IF('Instructor Calculations'!C38="","",'Instructor Calculations'!C38)</f>
        <v/>
      </c>
      <c r="D37" s="77" t="str">
        <f>IF('Instructor Calculations'!D38="","",'Instructor Calculations'!D38)</f>
        <v/>
      </c>
      <c r="E37" s="77" t="str">
        <f>IF('Instructor Calculations'!E38="","",'Instructor Calculations'!E38)</f>
        <v/>
      </c>
      <c r="F37" s="77" t="str">
        <f>IF('Instructor Calculations'!F38="","",'Instructor Calculations'!F38)</f>
        <v/>
      </c>
      <c r="G37" s="78" t="str">
        <f>IF('Instructor Calculations'!L38&lt;0.002,"",'Instructor Calculations'!L38)</f>
        <v/>
      </c>
      <c r="H37" s="2"/>
      <c r="I37" s="2"/>
      <c r="J37" s="2"/>
      <c r="K37" s="1"/>
      <c r="L37" s="1"/>
      <c r="M37" s="1"/>
      <c r="N37" s="1"/>
      <c r="O37" s="1"/>
      <c r="P37" s="1"/>
    </row>
    <row r="38" spans="1:16" x14ac:dyDescent="0.25">
      <c r="A38" s="76" t="str">
        <f>IF('Instructor Calculations'!A39="","",'Instructor Calculations'!A39)</f>
        <v/>
      </c>
      <c r="B38" s="477" t="str">
        <f>IF('Instructor Calculations'!B39="","",'Instructor Calculations'!B39)</f>
        <v/>
      </c>
      <c r="C38" s="77" t="str">
        <f>IF('Instructor Calculations'!C39="","",'Instructor Calculations'!C39)</f>
        <v/>
      </c>
      <c r="D38" s="77" t="str">
        <f>IF('Instructor Calculations'!D39="","",'Instructor Calculations'!D39)</f>
        <v/>
      </c>
      <c r="E38" s="77" t="str">
        <f>IF('Instructor Calculations'!E39="","",'Instructor Calculations'!E39)</f>
        <v/>
      </c>
      <c r="F38" s="77" t="str">
        <f>IF('Instructor Calculations'!F39="","",'Instructor Calculations'!F39)</f>
        <v/>
      </c>
      <c r="G38" s="78" t="str">
        <f>IF('Instructor Calculations'!L39&lt;0.002,"",'Instructor Calculations'!L39)</f>
        <v/>
      </c>
      <c r="H38" s="2"/>
      <c r="I38" s="2"/>
      <c r="J38" s="2"/>
      <c r="K38" s="1"/>
      <c r="L38" s="1"/>
      <c r="M38" s="1"/>
      <c r="N38" s="1"/>
      <c r="O38" s="1"/>
      <c r="P38" s="1"/>
    </row>
    <row r="39" spans="1:16" x14ac:dyDescent="0.25">
      <c r="A39" s="76" t="str">
        <f>IF('Instructor Calculations'!A40="","",'Instructor Calculations'!A40)</f>
        <v/>
      </c>
      <c r="B39" s="477" t="str">
        <f>IF('Instructor Calculations'!B40="","",'Instructor Calculations'!B40)</f>
        <v/>
      </c>
      <c r="C39" s="77" t="str">
        <f>IF('Instructor Calculations'!C40="","",'Instructor Calculations'!C40)</f>
        <v/>
      </c>
      <c r="D39" s="77" t="str">
        <f>IF('Instructor Calculations'!D40="","",'Instructor Calculations'!D40)</f>
        <v/>
      </c>
      <c r="E39" s="77" t="str">
        <f>IF('Instructor Calculations'!E40="","",'Instructor Calculations'!E40)</f>
        <v/>
      </c>
      <c r="F39" s="77" t="str">
        <f>IF('Instructor Calculations'!F40="","",'Instructor Calculations'!F40)</f>
        <v/>
      </c>
      <c r="G39" s="78" t="str">
        <f>IF('Instructor Calculations'!L40&lt;0.002,"",'Instructor Calculations'!L40)</f>
        <v/>
      </c>
      <c r="H39" s="2"/>
      <c r="I39" s="2"/>
      <c r="J39" s="2"/>
      <c r="K39" s="1"/>
      <c r="L39" s="1"/>
      <c r="M39" s="1"/>
      <c r="N39" s="1"/>
      <c r="O39" s="1"/>
      <c r="P39" s="1"/>
    </row>
    <row r="40" spans="1:16" x14ac:dyDescent="0.25">
      <c r="A40" s="76" t="str">
        <f>IF('Instructor Calculations'!A41="","",'Instructor Calculations'!A41)</f>
        <v/>
      </c>
      <c r="B40" s="477" t="str">
        <f>IF('Instructor Calculations'!B41="","",'Instructor Calculations'!B41)</f>
        <v/>
      </c>
      <c r="C40" s="77" t="str">
        <f>IF('Instructor Calculations'!C41="","",'Instructor Calculations'!C41)</f>
        <v/>
      </c>
      <c r="D40" s="77" t="str">
        <f>IF('Instructor Calculations'!D41="","",'Instructor Calculations'!D41)</f>
        <v/>
      </c>
      <c r="E40" s="77" t="str">
        <f>IF('Instructor Calculations'!E41="","",'Instructor Calculations'!E41)</f>
        <v/>
      </c>
      <c r="F40" s="77" t="str">
        <f>IF('Instructor Calculations'!F41="","",'Instructor Calculations'!F41)</f>
        <v/>
      </c>
      <c r="G40" s="78" t="str">
        <f>IF('Instructor Calculations'!L41&lt;0.002,"",'Instructor Calculations'!L41)</f>
        <v/>
      </c>
      <c r="H40" s="2"/>
      <c r="I40" s="2"/>
      <c r="J40" s="2"/>
      <c r="K40" s="1"/>
      <c r="L40" s="1"/>
      <c r="M40" s="1"/>
      <c r="N40" s="1"/>
      <c r="O40" s="1"/>
      <c r="P40" s="1"/>
    </row>
    <row r="41" spans="1:16" x14ac:dyDescent="0.25">
      <c r="A41" s="76" t="str">
        <f>IF('Instructor Calculations'!A42="","",'Instructor Calculations'!A42)</f>
        <v/>
      </c>
      <c r="B41" s="477" t="str">
        <f>IF('Instructor Calculations'!B42="","",'Instructor Calculations'!B42)</f>
        <v/>
      </c>
      <c r="C41" s="77" t="str">
        <f>IF('Instructor Calculations'!C42="","",'Instructor Calculations'!C42)</f>
        <v/>
      </c>
      <c r="D41" s="77" t="str">
        <f>IF('Instructor Calculations'!D42="","",'Instructor Calculations'!D42)</f>
        <v/>
      </c>
      <c r="E41" s="77" t="str">
        <f>IF('Instructor Calculations'!E42="","",'Instructor Calculations'!E42)</f>
        <v/>
      </c>
      <c r="F41" s="77" t="str">
        <f>IF('Instructor Calculations'!F42="","",'Instructor Calculations'!F42)</f>
        <v/>
      </c>
      <c r="G41" s="78" t="str">
        <f>IF('Instructor Calculations'!L42&lt;0.002,"",'Instructor Calculations'!L42)</f>
        <v/>
      </c>
      <c r="H41" s="2"/>
      <c r="I41" s="2"/>
      <c r="J41" s="2"/>
      <c r="K41" s="1"/>
      <c r="L41" s="1"/>
      <c r="M41" s="1"/>
      <c r="N41" s="1"/>
      <c r="O41" s="1"/>
      <c r="P41" s="1"/>
    </row>
    <row r="42" spans="1:16" x14ac:dyDescent="0.25">
      <c r="A42" s="76" t="str">
        <f>IF('Instructor Calculations'!A43="","",'Instructor Calculations'!A43)</f>
        <v/>
      </c>
      <c r="B42" s="477" t="str">
        <f>IF('Instructor Calculations'!B43="","",'Instructor Calculations'!B43)</f>
        <v/>
      </c>
      <c r="C42" s="77" t="str">
        <f>IF('Instructor Calculations'!C43="","",'Instructor Calculations'!C43)</f>
        <v/>
      </c>
      <c r="D42" s="77" t="str">
        <f>IF('Instructor Calculations'!D43="","",'Instructor Calculations'!D43)</f>
        <v/>
      </c>
      <c r="E42" s="77" t="str">
        <f>IF('Instructor Calculations'!E43="","",'Instructor Calculations'!E43)</f>
        <v/>
      </c>
      <c r="F42" s="77" t="str">
        <f>IF('Instructor Calculations'!F43="","",'Instructor Calculations'!F43)</f>
        <v/>
      </c>
      <c r="G42" s="78" t="str">
        <f>IF('Instructor Calculations'!L43&lt;0.002,"",'Instructor Calculations'!L43)</f>
        <v/>
      </c>
      <c r="H42" s="2"/>
      <c r="I42" s="2"/>
      <c r="J42" s="2"/>
      <c r="K42" s="1"/>
      <c r="L42" s="1"/>
      <c r="M42" s="1"/>
      <c r="N42" s="1"/>
      <c r="O42" s="1"/>
      <c r="P42" s="1"/>
    </row>
    <row r="43" spans="1:16" x14ac:dyDescent="0.25">
      <c r="A43" s="76" t="str">
        <f>IF('Instructor Calculations'!A44="","",'Instructor Calculations'!A44)</f>
        <v/>
      </c>
      <c r="B43" s="477" t="str">
        <f>IF('Instructor Calculations'!B44="","",'Instructor Calculations'!B44)</f>
        <v/>
      </c>
      <c r="C43" s="77" t="str">
        <f>IF('Instructor Calculations'!C44="","",'Instructor Calculations'!C44)</f>
        <v/>
      </c>
      <c r="D43" s="77" t="str">
        <f>IF('Instructor Calculations'!D44="","",'Instructor Calculations'!D44)</f>
        <v/>
      </c>
      <c r="E43" s="77" t="str">
        <f>IF('Instructor Calculations'!E44="","",'Instructor Calculations'!E44)</f>
        <v/>
      </c>
      <c r="F43" s="77" t="str">
        <f>IF('Instructor Calculations'!F44="","",'Instructor Calculations'!F44)</f>
        <v/>
      </c>
      <c r="G43" s="78" t="str">
        <f>IF('Instructor Calculations'!L44&lt;0.002,"",'Instructor Calculations'!L44)</f>
        <v/>
      </c>
      <c r="H43" s="2"/>
      <c r="I43" s="2"/>
      <c r="J43" s="2"/>
      <c r="K43" s="1"/>
      <c r="L43" s="1"/>
      <c r="M43" s="1"/>
      <c r="N43" s="1"/>
      <c r="O43" s="1"/>
      <c r="P43" s="1"/>
    </row>
    <row r="44" spans="1:16" x14ac:dyDescent="0.25">
      <c r="A44" s="76" t="str">
        <f>IF('Instructor Calculations'!A45="","",'Instructor Calculations'!A45)</f>
        <v/>
      </c>
      <c r="B44" s="477" t="str">
        <f>IF('Instructor Calculations'!B45="","",'Instructor Calculations'!B45)</f>
        <v/>
      </c>
      <c r="C44" s="77" t="str">
        <f>IF('Instructor Calculations'!C45="","",'Instructor Calculations'!C45)</f>
        <v/>
      </c>
      <c r="D44" s="77" t="str">
        <f>IF('Instructor Calculations'!D45="","",'Instructor Calculations'!D45)</f>
        <v/>
      </c>
      <c r="E44" s="77" t="str">
        <f>IF('Instructor Calculations'!E45="","",'Instructor Calculations'!E45)</f>
        <v/>
      </c>
      <c r="F44" s="77" t="str">
        <f>IF('Instructor Calculations'!F45="","",'Instructor Calculations'!F45)</f>
        <v/>
      </c>
      <c r="G44" s="78" t="str">
        <f>IF('Instructor Calculations'!L45&lt;0.002,"",'Instructor Calculations'!L45)</f>
        <v/>
      </c>
      <c r="H44" s="2"/>
      <c r="I44" s="2"/>
      <c r="J44" s="2"/>
      <c r="K44" s="1"/>
      <c r="L44" s="1"/>
      <c r="M44" s="1"/>
      <c r="N44" s="1"/>
      <c r="O44" s="1"/>
      <c r="P44" s="1"/>
    </row>
    <row r="45" spans="1:16" x14ac:dyDescent="0.25">
      <c r="A45" s="76" t="str">
        <f>IF('Instructor Calculations'!A46="","",'Instructor Calculations'!A46)</f>
        <v/>
      </c>
      <c r="B45" s="477" t="str">
        <f>IF('Instructor Calculations'!B46="","",'Instructor Calculations'!B46)</f>
        <v/>
      </c>
      <c r="C45" s="77" t="str">
        <f>IF('Instructor Calculations'!C46="","",'Instructor Calculations'!C46)</f>
        <v/>
      </c>
      <c r="D45" s="77" t="str">
        <f>IF('Instructor Calculations'!D46="","",'Instructor Calculations'!D46)</f>
        <v/>
      </c>
      <c r="E45" s="77" t="str">
        <f>IF('Instructor Calculations'!E46="","",'Instructor Calculations'!E46)</f>
        <v/>
      </c>
      <c r="F45" s="77" t="str">
        <f>IF('Instructor Calculations'!F46="","",'Instructor Calculations'!F46)</f>
        <v/>
      </c>
      <c r="G45" s="78" t="str">
        <f>IF('Instructor Calculations'!L46&lt;0.002,"",'Instructor Calculations'!L46)</f>
        <v/>
      </c>
      <c r="H45" s="2"/>
      <c r="I45" s="2"/>
      <c r="J45" s="2"/>
      <c r="K45" s="1"/>
      <c r="L45" s="1"/>
      <c r="M45" s="1"/>
      <c r="N45" s="1"/>
      <c r="O45" s="1"/>
      <c r="P45" s="1"/>
    </row>
    <row r="46" spans="1:16" x14ac:dyDescent="0.25">
      <c r="A46" s="76" t="str">
        <f>IF('Instructor Calculations'!A47="","",'Instructor Calculations'!A47)</f>
        <v/>
      </c>
      <c r="B46" s="477" t="str">
        <f>IF('Instructor Calculations'!B47="","",'Instructor Calculations'!B47)</f>
        <v/>
      </c>
      <c r="C46" s="77" t="str">
        <f>IF('Instructor Calculations'!C47="","",'Instructor Calculations'!C47)</f>
        <v/>
      </c>
      <c r="D46" s="77" t="str">
        <f>IF('Instructor Calculations'!D47="","",'Instructor Calculations'!D47)</f>
        <v/>
      </c>
      <c r="E46" s="77" t="str">
        <f>IF('Instructor Calculations'!E47="","",'Instructor Calculations'!E47)</f>
        <v/>
      </c>
      <c r="F46" s="77" t="str">
        <f>IF('Instructor Calculations'!F47="","",'Instructor Calculations'!F47)</f>
        <v/>
      </c>
      <c r="G46" s="78" t="str">
        <f>IF('Instructor Calculations'!L47&lt;0.002,"",'Instructor Calculations'!L47)</f>
        <v/>
      </c>
      <c r="H46" s="2"/>
      <c r="I46" s="2"/>
      <c r="J46" s="2"/>
      <c r="K46" s="1"/>
      <c r="L46" s="1"/>
      <c r="M46" s="1"/>
      <c r="N46" s="1"/>
      <c r="O46" s="1"/>
      <c r="P46" s="1"/>
    </row>
    <row r="47" spans="1:16" x14ac:dyDescent="0.25">
      <c r="A47" s="76" t="str">
        <f>IF('Instructor Calculations'!A48="","",'Instructor Calculations'!A48)</f>
        <v/>
      </c>
      <c r="B47" s="477" t="str">
        <f>IF('Instructor Calculations'!B48="","",'Instructor Calculations'!B48)</f>
        <v/>
      </c>
      <c r="C47" s="77" t="str">
        <f>IF('Instructor Calculations'!C48="","",'Instructor Calculations'!C48)</f>
        <v/>
      </c>
      <c r="D47" s="77" t="str">
        <f>IF('Instructor Calculations'!D48="","",'Instructor Calculations'!D48)</f>
        <v/>
      </c>
      <c r="E47" s="77" t="str">
        <f>IF('Instructor Calculations'!E48="","",'Instructor Calculations'!E48)</f>
        <v/>
      </c>
      <c r="F47" s="77" t="str">
        <f>IF('Instructor Calculations'!F48="","",'Instructor Calculations'!F48)</f>
        <v/>
      </c>
      <c r="G47" s="78" t="str">
        <f>IF('Instructor Calculations'!L48&lt;0.002,"",'Instructor Calculations'!L48)</f>
        <v/>
      </c>
      <c r="H47" s="2"/>
      <c r="I47" s="2"/>
      <c r="J47" s="2"/>
      <c r="K47" s="1"/>
      <c r="L47" s="1"/>
      <c r="M47" s="1"/>
      <c r="N47" s="1"/>
      <c r="O47" s="1"/>
      <c r="P47" s="1"/>
    </row>
    <row r="48" spans="1:16" x14ac:dyDescent="0.25">
      <c r="A48" s="76" t="str">
        <f>IF('Instructor Calculations'!A49="","",'Instructor Calculations'!A49)</f>
        <v/>
      </c>
      <c r="B48" s="477" t="str">
        <f>IF('Instructor Calculations'!B49="","",'Instructor Calculations'!B49)</f>
        <v/>
      </c>
      <c r="C48" s="77" t="str">
        <f>IF('Instructor Calculations'!C49="","",'Instructor Calculations'!C49)</f>
        <v/>
      </c>
      <c r="D48" s="77" t="str">
        <f>IF('Instructor Calculations'!D49="","",'Instructor Calculations'!D49)</f>
        <v/>
      </c>
      <c r="E48" s="77" t="str">
        <f>IF('Instructor Calculations'!E49="","",'Instructor Calculations'!E49)</f>
        <v/>
      </c>
      <c r="F48" s="77" t="str">
        <f>IF('Instructor Calculations'!F49="","",'Instructor Calculations'!F49)</f>
        <v/>
      </c>
      <c r="G48" s="78" t="str">
        <f>IF('Instructor Calculations'!L49&lt;0.002,"",'Instructor Calculations'!L49)</f>
        <v/>
      </c>
      <c r="H48" s="2"/>
      <c r="I48" s="2"/>
      <c r="J48" s="2"/>
      <c r="K48" s="1"/>
      <c r="L48" s="1"/>
      <c r="M48" s="1"/>
      <c r="N48" s="1"/>
      <c r="O48" s="1"/>
      <c r="P48" s="1"/>
    </row>
    <row r="49" spans="1:16" x14ac:dyDescent="0.25">
      <c r="A49" s="76" t="str">
        <f>IF('Instructor Calculations'!A50="","",'Instructor Calculations'!A50)</f>
        <v/>
      </c>
      <c r="B49" s="477" t="str">
        <f>IF('Instructor Calculations'!B50="","",'Instructor Calculations'!B50)</f>
        <v/>
      </c>
      <c r="C49" s="77" t="str">
        <f>IF('Instructor Calculations'!C50="","",'Instructor Calculations'!C50)</f>
        <v/>
      </c>
      <c r="D49" s="77" t="str">
        <f>IF('Instructor Calculations'!D50="","",'Instructor Calculations'!D50)</f>
        <v/>
      </c>
      <c r="E49" s="77" t="str">
        <f>IF('Instructor Calculations'!E50="","",'Instructor Calculations'!E50)</f>
        <v/>
      </c>
      <c r="F49" s="77" t="str">
        <f>IF('Instructor Calculations'!F50="","",'Instructor Calculations'!F50)</f>
        <v/>
      </c>
      <c r="G49" s="78" t="str">
        <f>IF('Instructor Calculations'!L50&lt;0.002,"",'Instructor Calculations'!L50)</f>
        <v/>
      </c>
      <c r="H49" s="2"/>
      <c r="I49" s="2"/>
      <c r="J49" s="2"/>
      <c r="K49" s="1"/>
      <c r="L49" s="1"/>
      <c r="M49" s="1"/>
      <c r="N49" s="1"/>
      <c r="O49" s="1"/>
      <c r="P49" s="1"/>
    </row>
    <row r="50" spans="1:16" x14ac:dyDescent="0.25">
      <c r="A50" s="76" t="str">
        <f>IF('Instructor Calculations'!A51="","",'Instructor Calculations'!A51)</f>
        <v/>
      </c>
      <c r="B50" s="477" t="str">
        <f>IF('Instructor Calculations'!B51="","",'Instructor Calculations'!B51)</f>
        <v/>
      </c>
      <c r="C50" s="77" t="str">
        <f>IF('Instructor Calculations'!C51="","",'Instructor Calculations'!C51)</f>
        <v/>
      </c>
      <c r="D50" s="77" t="str">
        <f>IF('Instructor Calculations'!D51="","",'Instructor Calculations'!D51)</f>
        <v/>
      </c>
      <c r="E50" s="77" t="str">
        <f>IF('Instructor Calculations'!E51="","",'Instructor Calculations'!E51)</f>
        <v/>
      </c>
      <c r="F50" s="77" t="str">
        <f>IF('Instructor Calculations'!F51="","",'Instructor Calculations'!F51)</f>
        <v/>
      </c>
      <c r="G50" s="78" t="str">
        <f>IF('Instructor Calculations'!L51&lt;0.002,"",'Instructor Calculations'!L51)</f>
        <v/>
      </c>
      <c r="H50" s="2"/>
      <c r="I50" s="2"/>
      <c r="J50" s="2"/>
      <c r="K50" s="1"/>
      <c r="L50" s="1"/>
      <c r="M50" s="1"/>
      <c r="N50" s="1"/>
      <c r="O50" s="1"/>
      <c r="P50" s="1"/>
    </row>
    <row r="51" spans="1:16" x14ac:dyDescent="0.25">
      <c r="A51" s="76" t="str">
        <f>IF('Instructor Calculations'!A52="","",'Instructor Calculations'!A52)</f>
        <v/>
      </c>
      <c r="B51" s="477" t="str">
        <f>IF('Instructor Calculations'!B52="","",'Instructor Calculations'!B52)</f>
        <v/>
      </c>
      <c r="C51" s="77" t="str">
        <f>IF('Instructor Calculations'!C52="","",'Instructor Calculations'!C52)</f>
        <v/>
      </c>
      <c r="D51" s="77" t="str">
        <f>IF('Instructor Calculations'!D52="","",'Instructor Calculations'!D52)</f>
        <v/>
      </c>
      <c r="E51" s="77" t="str">
        <f>IF('Instructor Calculations'!E52="","",'Instructor Calculations'!E52)</f>
        <v/>
      </c>
      <c r="F51" s="77" t="str">
        <f>IF('Instructor Calculations'!F52="","",'Instructor Calculations'!F52)</f>
        <v/>
      </c>
      <c r="G51" s="78" t="str">
        <f>IF('Instructor Calculations'!L52&lt;0.002,"",'Instructor Calculations'!L52)</f>
        <v/>
      </c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76" t="str">
        <f>IF('Instructor Calculations'!A53="","",'Instructor Calculations'!A53)</f>
        <v/>
      </c>
      <c r="B52" s="477" t="str">
        <f>IF('Instructor Calculations'!B53="","",'Instructor Calculations'!B53)</f>
        <v/>
      </c>
      <c r="C52" s="77" t="str">
        <f>IF('Instructor Calculations'!C53="","",'Instructor Calculations'!C53)</f>
        <v/>
      </c>
      <c r="D52" s="77" t="str">
        <f>IF('Instructor Calculations'!D53="","",'Instructor Calculations'!D53)</f>
        <v/>
      </c>
      <c r="E52" s="77" t="str">
        <f>IF('Instructor Calculations'!E53="","",'Instructor Calculations'!E53)</f>
        <v/>
      </c>
      <c r="F52" s="77" t="str">
        <f>IF('Instructor Calculations'!F53="","",'Instructor Calculations'!F53)</f>
        <v/>
      </c>
      <c r="G52" s="78" t="str">
        <f>IF('Instructor Calculations'!L53&lt;0.002,"",'Instructor Calculations'!L53)</f>
        <v/>
      </c>
    </row>
    <row r="53" spans="1:16" x14ac:dyDescent="0.25">
      <c r="A53" s="76" t="str">
        <f>IF('Instructor Calculations'!A54="","",'Instructor Calculations'!A54)</f>
        <v/>
      </c>
      <c r="B53" s="477" t="str">
        <f>IF('Instructor Calculations'!B54="","",'Instructor Calculations'!B54)</f>
        <v/>
      </c>
      <c r="C53" s="77" t="str">
        <f>IF('Instructor Calculations'!C54="","",'Instructor Calculations'!C54)</f>
        <v/>
      </c>
      <c r="D53" s="77" t="str">
        <f>IF('Instructor Calculations'!D54="","",'Instructor Calculations'!D54)</f>
        <v/>
      </c>
      <c r="E53" s="77" t="str">
        <f>IF('Instructor Calculations'!E54="","",'Instructor Calculations'!E54)</f>
        <v/>
      </c>
      <c r="F53" s="77" t="str">
        <f>IF('Instructor Calculations'!F54="","",'Instructor Calculations'!F54)</f>
        <v/>
      </c>
      <c r="G53" s="78" t="str">
        <f>IF('Instructor Calculations'!L54&lt;0.002,"",'Instructor Calculations'!L54)</f>
        <v/>
      </c>
    </row>
    <row r="54" spans="1:16" x14ac:dyDescent="0.25">
      <c r="A54" s="1"/>
      <c r="B54" s="478"/>
      <c r="C54" s="39"/>
      <c r="D54" s="39"/>
      <c r="E54" s="39"/>
      <c r="F54" s="39"/>
      <c r="G54" s="39"/>
    </row>
    <row r="55" spans="1:16" x14ac:dyDescent="0.25">
      <c r="B55" s="479"/>
      <c r="C55" s="40"/>
      <c r="D55" s="40"/>
      <c r="E55" s="40"/>
      <c r="F55" s="40"/>
      <c r="G55" s="40"/>
    </row>
    <row r="56" spans="1:16" x14ac:dyDescent="0.25">
      <c r="B56" s="479"/>
      <c r="C56" s="40"/>
      <c r="D56" s="40"/>
      <c r="E56" s="40"/>
      <c r="F56" s="40"/>
      <c r="G56" s="40"/>
    </row>
    <row r="57" spans="1:16" x14ac:dyDescent="0.25">
      <c r="B57" s="479"/>
      <c r="C57" s="40"/>
      <c r="D57" s="40"/>
      <c r="E57" s="40"/>
      <c r="F57" s="40"/>
      <c r="G57" s="40"/>
    </row>
    <row r="58" spans="1:16" x14ac:dyDescent="0.25">
      <c r="B58" s="479"/>
      <c r="C58" s="40"/>
      <c r="D58" s="40"/>
      <c r="E58" s="40"/>
      <c r="F58" s="40"/>
      <c r="G58" s="40"/>
    </row>
    <row r="59" spans="1:16" x14ac:dyDescent="0.25">
      <c r="B59" s="479"/>
      <c r="C59" s="40"/>
      <c r="D59" s="40"/>
      <c r="E59" s="40"/>
      <c r="F59" s="40"/>
      <c r="G59" s="40"/>
    </row>
    <row r="60" spans="1:16" x14ac:dyDescent="0.25">
      <c r="B60" s="40"/>
      <c r="C60" s="40"/>
      <c r="D60" s="40"/>
      <c r="E60" s="40"/>
      <c r="F60" s="40"/>
      <c r="G60" s="40"/>
    </row>
    <row r="61" spans="1:16" x14ac:dyDescent="0.25">
      <c r="B61" s="40"/>
      <c r="C61" s="40"/>
      <c r="D61" s="40"/>
      <c r="E61" s="40"/>
      <c r="F61" s="40"/>
      <c r="G61" s="40"/>
    </row>
    <row r="62" spans="1:16" x14ac:dyDescent="0.25">
      <c r="B62" s="40"/>
      <c r="C62" s="40"/>
      <c r="D62" s="40"/>
      <c r="E62" s="40"/>
      <c r="F62" s="40"/>
      <c r="G62" s="40"/>
    </row>
    <row r="63" spans="1:16" x14ac:dyDescent="0.25">
      <c r="B63" s="40"/>
      <c r="C63" s="40"/>
      <c r="D63" s="40"/>
      <c r="E63" s="40"/>
      <c r="F63" s="40"/>
      <c r="G63" s="40"/>
    </row>
    <row r="64" spans="1:16" x14ac:dyDescent="0.25">
      <c r="B64" s="40"/>
      <c r="C64" s="40"/>
      <c r="D64" s="40"/>
      <c r="E64" s="40"/>
      <c r="F64" s="40"/>
      <c r="G64" s="40"/>
    </row>
    <row r="65" spans="2:7" x14ac:dyDescent="0.25">
      <c r="B65" s="40"/>
      <c r="C65" s="40"/>
      <c r="D65" s="40"/>
      <c r="E65" s="40"/>
      <c r="F65" s="40"/>
      <c r="G65" s="40"/>
    </row>
    <row r="66" spans="2:7" x14ac:dyDescent="0.25">
      <c r="B66" s="40"/>
      <c r="C66" s="40"/>
      <c r="D66" s="40"/>
      <c r="E66" s="40"/>
      <c r="F66" s="40"/>
      <c r="G66" s="40"/>
    </row>
    <row r="67" spans="2:7" x14ac:dyDescent="0.25">
      <c r="B67" s="40"/>
      <c r="C67" s="40"/>
      <c r="D67" s="40"/>
      <c r="E67" s="40"/>
      <c r="F67" s="40"/>
      <c r="G67" s="40"/>
    </row>
    <row r="68" spans="2:7" x14ac:dyDescent="0.25">
      <c r="B68" s="40"/>
      <c r="C68" s="40"/>
      <c r="D68" s="40"/>
      <c r="E68" s="40"/>
      <c r="F68" s="40"/>
      <c r="G68" s="40"/>
    </row>
  </sheetData>
  <sheetProtection algorithmName="SHA-512" hashValue="hVPCfBGRdhpzZlaNr6VLJ9hENGo1eOB/1Hxg0i+bjW+28gmurjCsKyDwbrW7TQ+tPe2bz24QW+zdxNnEfjDCSQ==" saltValue="TIgYvAoCvsba44/wVVghiw==" spinCount="100000" sheet="1" objects="1" scenarios="1"/>
  <mergeCells count="1">
    <mergeCell ref="H3:L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0.59999389629810485"/>
  </sheetPr>
  <dimension ref="A1:AJ59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7" sqref="G7"/>
    </sheetView>
  </sheetViews>
  <sheetFormatPr defaultColWidth="8.85546875" defaultRowHeight="15" x14ac:dyDescent="0.25"/>
  <cols>
    <col min="1" max="1" width="22.28515625" style="7" customWidth="1"/>
    <col min="2" max="2" width="10.28515625" customWidth="1"/>
    <col min="3" max="3" width="5" customWidth="1"/>
    <col min="4" max="4" width="4.85546875" customWidth="1"/>
    <col min="5" max="5" width="5.28515625" customWidth="1"/>
    <col min="6" max="6" width="5.7109375" customWidth="1"/>
    <col min="7" max="7" width="5.85546875" customWidth="1"/>
    <col min="13" max="13" width="10.140625" customWidth="1"/>
    <col min="14" max="14" width="16.42578125" customWidth="1"/>
    <col min="16" max="16" width="10.7109375" customWidth="1"/>
  </cols>
  <sheetData>
    <row r="1" spans="1:36" ht="24" thickBot="1" x14ac:dyDescent="0.4">
      <c r="A1" s="268" t="str">
        <f>'Instructor Course Information'!J1</f>
        <v>WDS:511</v>
      </c>
      <c r="B1" s="101" t="s">
        <v>108</v>
      </c>
      <c r="C1" s="103"/>
      <c r="D1" s="102"/>
      <c r="E1" s="104"/>
      <c r="F1" s="105"/>
      <c r="G1" s="105"/>
      <c r="H1" s="105"/>
      <c r="I1" s="105"/>
      <c r="J1" s="105"/>
      <c r="K1" s="106"/>
      <c r="L1" s="106"/>
      <c r="M1" s="106"/>
      <c r="N1" s="106"/>
      <c r="O1" s="83"/>
      <c r="P1" s="83"/>
      <c r="Q1" s="83"/>
      <c r="R1" s="83"/>
      <c r="S1" s="83"/>
      <c r="T1" s="83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</row>
    <row r="2" spans="1:36" ht="16.5" thickTop="1" thickBot="1" x14ac:dyDescent="0.3">
      <c r="A2" s="9"/>
      <c r="B2" s="2"/>
      <c r="C2" s="108"/>
      <c r="D2" s="109"/>
      <c r="E2" s="109"/>
      <c r="F2" s="109"/>
      <c r="G2" s="110" t="s">
        <v>111</v>
      </c>
      <c r="H2" s="111"/>
      <c r="I2" s="111"/>
      <c r="J2" s="111"/>
      <c r="K2" s="111"/>
      <c r="L2" s="117" t="s">
        <v>83</v>
      </c>
      <c r="P2" s="1"/>
      <c r="Q2" s="1"/>
      <c r="R2" s="1"/>
      <c r="S2" s="1"/>
      <c r="T2" s="1"/>
    </row>
    <row r="3" spans="1:36" ht="64.5" customHeight="1" thickTop="1" thickBot="1" x14ac:dyDescent="0.3">
      <c r="A3" s="112" t="str">
        <f>'Instructor Calculations'!A4</f>
        <v>Course Components</v>
      </c>
      <c r="B3" s="113" t="str">
        <f>'Instructor Calculations'!B4</f>
        <v>Approximate Completion Date</v>
      </c>
      <c r="C3" s="113" t="str">
        <f>'Instructor Calculations'!C4</f>
        <v>Course Percentage</v>
      </c>
      <c r="D3" s="113" t="str">
        <f>'Instructor Calculations'!D4</f>
        <v>Bonus Percentage</v>
      </c>
      <c r="E3" s="113" t="str">
        <f>'Instructor Calculations'!E4</f>
        <v>2017 Rough class average</v>
      </c>
      <c r="F3" s="113" t="str">
        <f>'Instructor Calculations'!F4</f>
        <v>Predicted Mark</v>
      </c>
      <c r="G3" s="114" t="str">
        <f>'Instructor Calculations'!M4</f>
        <v>Planned mark</v>
      </c>
      <c r="H3" s="116" t="str">
        <f>'Instructor Calculations'!P4</f>
        <v>Planned GPA</v>
      </c>
      <c r="I3" s="512" t="s">
        <v>188</v>
      </c>
      <c r="J3" s="496"/>
      <c r="K3" s="496"/>
      <c r="L3" s="496"/>
      <c r="M3" s="496"/>
      <c r="N3" s="279">
        <f>'Instructor Calculations'!O55</f>
        <v>84.57</v>
      </c>
      <c r="O3" s="270"/>
      <c r="P3" s="271" t="str">
        <f>'Instructor Calculations'!O56</f>
        <v>B+/A-/A</v>
      </c>
      <c r="Q3" s="277"/>
      <c r="R3" s="1"/>
      <c r="S3" s="1"/>
      <c r="T3" s="1"/>
    </row>
    <row r="4" spans="1:36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474">
        <f>100</f>
        <v>100</v>
      </c>
      <c r="H4" s="96" t="str">
        <f>IF('Instructor Calculations'!P5&lt;0.002,"",'Instructor Calculations'!P5)</f>
        <v>A+</v>
      </c>
      <c r="I4" s="2"/>
      <c r="J4" s="2"/>
      <c r="K4" s="2"/>
      <c r="L4" s="2"/>
      <c r="M4" s="2"/>
      <c r="N4" s="2"/>
      <c r="O4" s="1"/>
      <c r="P4" s="1"/>
      <c r="Q4" s="1"/>
      <c r="R4" s="1"/>
      <c r="S4" s="1"/>
      <c r="T4" s="1"/>
    </row>
    <row r="5" spans="1:36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474">
        <v>100</v>
      </c>
      <c r="H5" s="96" t="str">
        <f>IF('Instructor Calculations'!P6&lt;0.002,"",'Instructor Calculations'!P6)</f>
        <v>A+</v>
      </c>
      <c r="I5" s="2"/>
      <c r="P5" s="1"/>
      <c r="Q5" s="1"/>
      <c r="R5" s="1"/>
    </row>
    <row r="6" spans="1:36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474">
        <v>100</v>
      </c>
      <c r="H6" s="96" t="str">
        <f>IF('Instructor Calculations'!P7&lt;0.002,"",'Instructor Calculations'!P7)</f>
        <v>A+</v>
      </c>
      <c r="I6" s="2"/>
      <c r="J6" s="2"/>
      <c r="K6" s="2"/>
      <c r="L6" s="2"/>
      <c r="M6" s="2"/>
      <c r="N6" s="2"/>
      <c r="O6" s="1"/>
      <c r="P6" s="1"/>
      <c r="Q6" s="1"/>
      <c r="R6" s="1"/>
      <c r="S6" s="1"/>
      <c r="T6" s="1"/>
    </row>
    <row r="7" spans="1:36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474">
        <v>75</v>
      </c>
      <c r="H7" s="96" t="str">
        <f>IF('Instructor Calculations'!P8&lt;0.002,"",'Instructor Calculations'!P8)</f>
        <v>B-/B/B+</v>
      </c>
      <c r="I7" s="2"/>
      <c r="J7" s="2"/>
      <c r="K7" s="2"/>
      <c r="L7" s="2"/>
      <c r="M7" s="2"/>
      <c r="N7" s="2"/>
      <c r="O7" s="1"/>
      <c r="P7" s="1"/>
      <c r="Q7" s="1"/>
      <c r="R7" s="1"/>
      <c r="S7" s="1"/>
      <c r="T7" s="1"/>
    </row>
    <row r="8" spans="1:36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474">
        <v>80</v>
      </c>
      <c r="H8" s="96" t="str">
        <f>IF('Instructor Calculations'!P9&lt;0.002,"",'Instructor Calculations'!P9)</f>
        <v>B/B+/A-</v>
      </c>
      <c r="I8" s="2"/>
      <c r="J8" s="2"/>
      <c r="K8" s="2"/>
      <c r="L8" s="2"/>
      <c r="M8" s="2"/>
      <c r="N8" s="2"/>
      <c r="O8" s="1"/>
      <c r="P8" s="1"/>
      <c r="Q8" s="1"/>
      <c r="R8" s="1"/>
      <c r="S8" s="1"/>
      <c r="T8" s="1"/>
    </row>
    <row r="9" spans="1:36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474">
        <v>80</v>
      </c>
      <c r="H9" s="96" t="str">
        <f>IF('Instructor Calculations'!P10&lt;0.002,"",'Instructor Calculations'!P10)</f>
        <v>B/B+/A-</v>
      </c>
      <c r="I9" s="2"/>
      <c r="J9" s="2"/>
      <c r="K9" s="2"/>
      <c r="L9" s="2"/>
      <c r="M9" s="2"/>
      <c r="N9" s="2"/>
      <c r="O9" s="1"/>
      <c r="P9" s="1"/>
      <c r="Q9" s="1"/>
      <c r="R9" s="1"/>
      <c r="S9" s="1"/>
      <c r="T9" s="1"/>
    </row>
    <row r="10" spans="1:36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474">
        <v>100</v>
      </c>
      <c r="H10" s="96" t="str">
        <f>IF('Instructor Calculations'!P11&lt;0.002,"",'Instructor Calculations'!P11)</f>
        <v>A+</v>
      </c>
      <c r="I10" s="2"/>
      <c r="J10" s="2"/>
      <c r="K10" s="2"/>
      <c r="L10" s="2"/>
      <c r="M10" s="2"/>
      <c r="N10" s="2"/>
      <c r="O10" s="1"/>
      <c r="P10" s="1"/>
      <c r="Q10" s="1"/>
      <c r="R10" s="1"/>
      <c r="S10" s="1"/>
      <c r="T10" s="1"/>
    </row>
    <row r="11" spans="1:36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474">
        <v>90</v>
      </c>
      <c r="H11" s="96" t="str">
        <f>IF('Instructor Calculations'!P12&lt;0.002,"",'Instructor Calculations'!P12)</f>
        <v>A/A+</v>
      </c>
      <c r="I11" s="2"/>
      <c r="J11" s="2"/>
      <c r="K11" s="2"/>
      <c r="L11" s="2"/>
      <c r="M11" s="2"/>
      <c r="N11" s="2"/>
      <c r="O11" s="1"/>
      <c r="P11" s="1"/>
      <c r="Q11" s="1"/>
      <c r="R11" s="1"/>
      <c r="S11" s="1"/>
      <c r="T11" s="1"/>
    </row>
    <row r="12" spans="1:36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474">
        <v>100</v>
      </c>
      <c r="H12" s="96" t="str">
        <f>IF('Instructor Calculations'!P13&lt;0.002,"",'Instructor Calculations'!P13)</f>
        <v>A+</v>
      </c>
      <c r="I12" s="2"/>
      <c r="J12" s="2"/>
      <c r="K12" s="2"/>
      <c r="L12" s="2"/>
      <c r="M12" s="2"/>
      <c r="N12" s="2"/>
      <c r="O12" s="1"/>
      <c r="P12" s="1"/>
      <c r="Q12" s="1"/>
      <c r="R12" s="1"/>
      <c r="S12" s="1"/>
      <c r="T12" s="1"/>
    </row>
    <row r="13" spans="1:36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474">
        <v>90</v>
      </c>
      <c r="H13" s="96" t="str">
        <f>IF('Instructor Calculations'!P14&lt;0.002,"",'Instructor Calculations'!P14)</f>
        <v>A/A+</v>
      </c>
      <c r="I13" s="2"/>
      <c r="J13" s="2"/>
      <c r="K13" s="2"/>
      <c r="L13" s="2"/>
      <c r="M13" s="2"/>
      <c r="N13" s="2"/>
      <c r="O13" s="1"/>
      <c r="P13" s="1"/>
      <c r="Q13" s="1"/>
      <c r="R13" s="1"/>
      <c r="S13" s="1"/>
      <c r="T13" s="1"/>
    </row>
    <row r="14" spans="1:36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474">
        <v>100</v>
      </c>
      <c r="H14" s="96" t="str">
        <f>IF('Instructor Calculations'!P15&lt;0.002,"",'Instructor Calculations'!P15)</f>
        <v>A+</v>
      </c>
      <c r="I14" s="2"/>
      <c r="J14" s="2"/>
      <c r="K14" s="2"/>
      <c r="L14" s="2"/>
      <c r="M14" s="2"/>
      <c r="N14" s="2"/>
      <c r="O14" s="1"/>
      <c r="P14" s="1"/>
      <c r="Q14" s="1"/>
      <c r="R14" s="1"/>
      <c r="S14" s="1"/>
      <c r="T14" s="1"/>
    </row>
    <row r="15" spans="1:36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474">
        <v>90</v>
      </c>
      <c r="H15" s="96" t="str">
        <f>IF('Instructor Calculations'!P16&lt;0.002,"",'Instructor Calculations'!P16)</f>
        <v>A/A+</v>
      </c>
      <c r="I15" s="2"/>
      <c r="J15" s="2"/>
      <c r="K15" s="2"/>
      <c r="L15" s="2"/>
      <c r="M15" s="2"/>
      <c r="N15" s="2"/>
      <c r="O15" s="1"/>
      <c r="P15" s="1"/>
      <c r="Q15" s="1"/>
      <c r="R15" s="1"/>
      <c r="S15" s="1"/>
      <c r="T15" s="1"/>
    </row>
    <row r="16" spans="1:36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474">
        <v>80</v>
      </c>
      <c r="H16" s="96" t="str">
        <f>IF('Instructor Calculations'!P17&lt;0.002,"",'Instructor Calculations'!P17)</f>
        <v>B/B+/A-</v>
      </c>
      <c r="I16" s="2"/>
      <c r="J16" s="2"/>
      <c r="K16" s="2"/>
      <c r="L16" s="2"/>
      <c r="M16" s="2"/>
      <c r="N16" s="2"/>
      <c r="O16" s="1"/>
      <c r="P16" s="1"/>
      <c r="Q16" s="1"/>
      <c r="R16" s="1"/>
      <c r="S16" s="1"/>
      <c r="T16" s="1"/>
    </row>
    <row r="17" spans="1:20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474">
        <v>75</v>
      </c>
      <c r="H17" s="96" t="str">
        <f>IF('Instructor Calculations'!P18&lt;0.002,"",'Instructor Calculations'!P18)</f>
        <v>B-/B/B+</v>
      </c>
      <c r="I17" s="2"/>
      <c r="J17" s="2"/>
      <c r="K17" s="2"/>
      <c r="L17" s="2"/>
      <c r="M17" s="2"/>
      <c r="N17" s="2"/>
      <c r="O17" s="1"/>
      <c r="P17" s="1"/>
      <c r="Q17" s="1"/>
      <c r="R17" s="1"/>
      <c r="S17" s="1"/>
      <c r="T17" s="1"/>
    </row>
    <row r="18" spans="1:20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474">
        <v>80</v>
      </c>
      <c r="H18" s="96" t="str">
        <f>IF('Instructor Calculations'!P19&lt;0.002,"",'Instructor Calculations'!P19)</f>
        <v>B/B+/A-</v>
      </c>
      <c r="I18" s="2"/>
      <c r="J18" s="2"/>
      <c r="K18" s="2"/>
      <c r="L18" s="2"/>
      <c r="M18" s="2"/>
      <c r="N18" s="2"/>
      <c r="O18" s="1"/>
      <c r="P18" s="1"/>
      <c r="Q18" s="1"/>
      <c r="R18" s="1"/>
      <c r="S18" s="1"/>
      <c r="T18" s="1"/>
    </row>
    <row r="19" spans="1:20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474">
        <v>70</v>
      </c>
      <c r="H19" s="96" t="str">
        <f>IF('Instructor Calculations'!P20&lt;0.002,"",'Instructor Calculations'!P20)</f>
        <v>C/C+/B-</v>
      </c>
      <c r="I19" s="2"/>
      <c r="J19" s="2"/>
      <c r="K19" s="2"/>
      <c r="L19" s="2"/>
      <c r="M19" s="2"/>
      <c r="N19" s="2"/>
      <c r="O19" s="1"/>
      <c r="P19" s="1"/>
      <c r="Q19" s="1"/>
      <c r="R19" s="1"/>
      <c r="S19" s="1"/>
      <c r="T19" s="1"/>
    </row>
    <row r="20" spans="1:20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474">
        <v>80</v>
      </c>
      <c r="H20" s="96" t="str">
        <f>IF('Instructor Calculations'!P21&lt;0.002,"",'Instructor Calculations'!P21)</f>
        <v>B/B+/A-</v>
      </c>
      <c r="I20" s="2"/>
      <c r="J20" s="2"/>
      <c r="K20" s="2"/>
      <c r="L20" s="2"/>
      <c r="M20" s="2"/>
      <c r="N20" s="2"/>
      <c r="O20" s="1"/>
      <c r="P20" s="1"/>
      <c r="Q20" s="1"/>
      <c r="R20" s="1"/>
      <c r="S20" s="1"/>
      <c r="T20" s="1"/>
    </row>
    <row r="21" spans="1:20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474">
        <v>80</v>
      </c>
      <c r="H21" s="96" t="str">
        <f>IF('Instructor Calculations'!P22&lt;0.002,"",'Instructor Calculations'!P22)</f>
        <v>B/B+/A-</v>
      </c>
      <c r="I21" s="2"/>
      <c r="J21" s="2"/>
      <c r="K21" s="34"/>
      <c r="L21" s="2"/>
      <c r="M21" s="2"/>
      <c r="N21" s="2"/>
      <c r="O21" s="1"/>
      <c r="P21" s="1"/>
      <c r="Q21" s="1"/>
      <c r="R21" s="1"/>
      <c r="S21" s="1"/>
      <c r="T21" s="1"/>
    </row>
    <row r="22" spans="1:20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474">
        <v>70</v>
      </c>
      <c r="H22" s="96" t="str">
        <f>IF('Instructor Calculations'!P23&lt;0.002,"",'Instructor Calculations'!P23)</f>
        <v>C/C+/B-</v>
      </c>
      <c r="I22" s="2"/>
      <c r="J22" s="2"/>
      <c r="K22" s="2"/>
      <c r="L22" s="2"/>
      <c r="M22" s="2"/>
      <c r="N22" s="2"/>
      <c r="O22" s="1"/>
      <c r="P22" s="1"/>
      <c r="Q22" s="1"/>
      <c r="R22" s="1"/>
      <c r="S22" s="1"/>
      <c r="T22" s="1"/>
    </row>
    <row r="23" spans="1:20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474">
        <v>80</v>
      </c>
      <c r="H23" s="96" t="str">
        <f>IF('Instructor Calculations'!P24&lt;0.002,"",'Instructor Calculations'!P24)</f>
        <v>B/B+/A-</v>
      </c>
      <c r="I23" s="2"/>
      <c r="J23" s="2"/>
      <c r="K23" s="2"/>
      <c r="L23" s="2"/>
      <c r="M23" s="2"/>
      <c r="N23" s="2"/>
      <c r="O23" s="1"/>
      <c r="P23" s="1"/>
      <c r="Q23" s="1"/>
      <c r="R23" s="1"/>
      <c r="S23" s="1"/>
      <c r="T23" s="1"/>
    </row>
    <row r="24" spans="1:20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474">
        <v>80</v>
      </c>
      <c r="H24" s="96" t="str">
        <f>IF('Instructor Calculations'!P25&lt;0.002,"",'Instructor Calculations'!P25)</f>
        <v>B/B+/A-</v>
      </c>
      <c r="I24" s="2"/>
      <c r="J24" s="2"/>
      <c r="K24" s="2"/>
      <c r="L24" s="2"/>
      <c r="M24" s="2"/>
      <c r="N24" s="2"/>
      <c r="O24" s="1"/>
      <c r="P24" s="1"/>
      <c r="Q24" s="1"/>
      <c r="R24" s="1"/>
      <c r="S24" s="1"/>
      <c r="T24" s="1"/>
    </row>
    <row r="25" spans="1:20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474">
        <v>90</v>
      </c>
      <c r="H25" s="96" t="str">
        <f>IF('Instructor Calculations'!P26&lt;0.002,"",'Instructor Calculations'!P26)</f>
        <v>A/A+</v>
      </c>
      <c r="I25" s="2"/>
      <c r="J25" s="2"/>
      <c r="K25" s="2"/>
      <c r="L25" s="2"/>
      <c r="M25" s="2"/>
      <c r="N25" s="2"/>
      <c r="O25" s="1"/>
      <c r="P25" s="1"/>
      <c r="Q25" s="1"/>
      <c r="R25" s="1"/>
      <c r="S25" s="1"/>
      <c r="T25" s="1"/>
    </row>
    <row r="26" spans="1:20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474">
        <v>90</v>
      </c>
      <c r="H26" s="96" t="str">
        <f>IF('Instructor Calculations'!P27&lt;0.002,"",'Instructor Calculations'!P27)</f>
        <v>A/A+</v>
      </c>
      <c r="I26" s="2"/>
      <c r="J26" s="2"/>
      <c r="K26" s="2"/>
      <c r="L26" s="2"/>
      <c r="M26" s="2"/>
      <c r="N26" s="2"/>
      <c r="O26" s="1"/>
      <c r="P26" s="1"/>
      <c r="Q26" s="1"/>
      <c r="R26" s="1"/>
      <c r="S26" s="1"/>
      <c r="T26" s="1"/>
    </row>
    <row r="27" spans="1:20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474">
        <v>75</v>
      </c>
      <c r="H27" s="96" t="str">
        <f>IF('Instructor Calculations'!P28&lt;0.002,"",'Instructor Calculations'!P28)</f>
        <v>B-/B/B+</v>
      </c>
      <c r="I27" s="2"/>
      <c r="J27" s="2"/>
      <c r="K27" s="2"/>
      <c r="L27" s="2"/>
      <c r="M27" s="2"/>
      <c r="N27" s="2"/>
      <c r="O27" s="1"/>
      <c r="P27" s="1"/>
      <c r="Q27" s="1"/>
      <c r="R27" s="1"/>
      <c r="S27" s="1"/>
      <c r="T27" s="1"/>
    </row>
    <row r="28" spans="1:20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474">
        <v>90</v>
      </c>
      <c r="H28" s="96" t="str">
        <f>IF('Instructor Calculations'!P29&lt;0.002,"",'Instructor Calculations'!P29)</f>
        <v>A/A+</v>
      </c>
      <c r="I28" s="2"/>
      <c r="J28" s="2"/>
      <c r="K28" s="2"/>
      <c r="L28" s="2"/>
      <c r="M28" s="2"/>
      <c r="N28" s="2"/>
      <c r="O28" s="1"/>
      <c r="P28" s="1"/>
      <c r="Q28" s="1"/>
      <c r="R28" s="1"/>
      <c r="S28" s="1"/>
      <c r="T28" s="1"/>
    </row>
    <row r="29" spans="1:20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474" t="str">
        <f>'Instructor Calculations'!Y30</f>
        <v/>
      </c>
      <c r="H29" s="96" t="str">
        <f>IF('Instructor Calculations'!P30&lt;0.002,"",'Instructor Calculations'!P30)</f>
        <v/>
      </c>
      <c r="O29" s="1"/>
      <c r="P29" s="1"/>
      <c r="Q29" s="1"/>
      <c r="R29" s="1"/>
      <c r="S29" s="1"/>
      <c r="T29" s="1"/>
    </row>
    <row r="30" spans="1:20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474" t="str">
        <f>'Instructor Calculations'!Y31</f>
        <v/>
      </c>
      <c r="H30" s="96" t="str">
        <f>IF('Instructor Calculations'!P31&lt;0.002,"",'Instructor Calculations'!P31)</f>
        <v/>
      </c>
      <c r="I30" s="50"/>
      <c r="J30" s="2"/>
      <c r="K30" s="2"/>
      <c r="L30" s="2"/>
      <c r="M30" s="2"/>
      <c r="N30" s="2"/>
      <c r="O30" s="1"/>
      <c r="P30" s="1"/>
      <c r="Q30" s="1"/>
      <c r="R30" s="1"/>
      <c r="S30" s="1"/>
      <c r="T30" s="1"/>
    </row>
    <row r="31" spans="1:20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474" t="str">
        <f>'Instructor Calculations'!Y32</f>
        <v/>
      </c>
      <c r="H31" s="96" t="str">
        <f>IF('Instructor Calculations'!P32&lt;0.002,"",'Instructor Calculations'!P32)</f>
        <v/>
      </c>
      <c r="I31" s="2"/>
      <c r="J31" s="2"/>
      <c r="K31" s="2"/>
      <c r="L31" s="2"/>
      <c r="M31" s="2"/>
      <c r="N31" s="2"/>
      <c r="O31" s="1"/>
      <c r="P31" s="1"/>
      <c r="Q31" s="1"/>
      <c r="R31" s="1"/>
      <c r="S31" s="1"/>
      <c r="T31" s="1"/>
    </row>
    <row r="32" spans="1:20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474" t="str">
        <f>'Instructor Calculations'!Y33</f>
        <v/>
      </c>
      <c r="H32" s="96" t="str">
        <f>IF('Instructor Calculations'!P33&lt;0.002,"",'Instructor Calculations'!P33)</f>
        <v/>
      </c>
      <c r="I32" s="2"/>
      <c r="J32" s="2"/>
      <c r="K32" s="2"/>
      <c r="L32" s="2"/>
      <c r="M32" s="2"/>
      <c r="N32" s="2"/>
      <c r="O32" s="1"/>
      <c r="P32" s="1"/>
      <c r="Q32" s="1"/>
      <c r="R32" s="1"/>
      <c r="S32" s="1"/>
      <c r="T32" s="1"/>
    </row>
    <row r="33" spans="1:20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474" t="str">
        <f>'Instructor Calculations'!Y34</f>
        <v/>
      </c>
      <c r="H33" s="96" t="str">
        <f>IF('Instructor Calculations'!P34&lt;0.002,"",'Instructor Calculations'!P34)</f>
        <v/>
      </c>
      <c r="I33" s="2"/>
      <c r="J33" s="2"/>
      <c r="K33" s="2"/>
      <c r="L33" s="2"/>
      <c r="M33" s="2"/>
      <c r="N33" s="2"/>
      <c r="O33" s="1"/>
      <c r="P33" s="1"/>
      <c r="Q33" s="1"/>
      <c r="R33" s="1"/>
      <c r="S33" s="1"/>
      <c r="T33" s="1"/>
    </row>
    <row r="34" spans="1:20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474" t="str">
        <f>'Instructor Calculations'!Y35</f>
        <v/>
      </c>
      <c r="H34" s="96" t="str">
        <f>IF('Instructor Calculations'!P35&lt;0.002,"",'Instructor Calculations'!P35)</f>
        <v/>
      </c>
      <c r="I34" s="2"/>
      <c r="J34" s="2"/>
      <c r="K34" s="2"/>
      <c r="L34" s="2"/>
      <c r="M34" s="2"/>
      <c r="N34" s="2"/>
      <c r="O34" s="1"/>
      <c r="P34" s="1"/>
      <c r="Q34" s="1"/>
      <c r="R34" s="1"/>
      <c r="S34" s="1"/>
      <c r="T34" s="1"/>
    </row>
    <row r="35" spans="1:20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474" t="str">
        <f>'Instructor Calculations'!Y36</f>
        <v/>
      </c>
      <c r="H35" s="96" t="str">
        <f>IF('Instructor Calculations'!P36&lt;0.002,"",'Instructor Calculations'!P36)</f>
        <v/>
      </c>
      <c r="I35" s="2"/>
      <c r="J35" s="2"/>
      <c r="K35" s="2"/>
      <c r="L35" s="2"/>
      <c r="M35" s="2"/>
      <c r="N35" s="2"/>
      <c r="O35" s="1"/>
      <c r="P35" s="1"/>
      <c r="Q35" s="1"/>
      <c r="R35" s="1"/>
      <c r="S35" s="1"/>
      <c r="T35" s="1"/>
    </row>
    <row r="36" spans="1:20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474" t="str">
        <f>'Instructor Calculations'!Y37</f>
        <v/>
      </c>
      <c r="H36" s="96" t="str">
        <f>IF('Instructor Calculations'!P37&lt;0.002,"",'Instructor Calculations'!P37)</f>
        <v/>
      </c>
      <c r="I36" s="2"/>
      <c r="J36" s="2"/>
      <c r="K36" s="2"/>
      <c r="L36" s="2"/>
      <c r="M36" s="2"/>
      <c r="N36" s="2"/>
      <c r="O36" s="1"/>
      <c r="P36" s="1"/>
      <c r="Q36" s="1"/>
      <c r="R36" s="1"/>
      <c r="S36" s="1"/>
      <c r="T36" s="1"/>
    </row>
    <row r="37" spans="1:20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474" t="str">
        <f>'Instructor Calculations'!Y38</f>
        <v/>
      </c>
      <c r="H37" s="96" t="str">
        <f>IF('Instructor Calculations'!P38&lt;0.002,"",'Instructor Calculations'!P38)</f>
        <v/>
      </c>
      <c r="I37" s="2"/>
      <c r="J37" s="2"/>
      <c r="K37" s="2"/>
      <c r="L37" s="2"/>
      <c r="M37" s="2"/>
      <c r="N37" s="2"/>
      <c r="O37" s="1"/>
      <c r="P37" s="1"/>
      <c r="Q37" s="1"/>
      <c r="R37" s="1"/>
      <c r="S37" s="1"/>
      <c r="T37" s="1"/>
    </row>
    <row r="38" spans="1:20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474" t="str">
        <f>'Instructor Calculations'!Y39</f>
        <v/>
      </c>
      <c r="H38" s="96" t="str">
        <f>IF('Instructor Calculations'!P39&lt;0.002,"",'Instructor Calculations'!P39)</f>
        <v/>
      </c>
      <c r="I38" s="2"/>
      <c r="J38" s="2"/>
      <c r="K38" s="2"/>
      <c r="L38" s="2"/>
      <c r="M38" s="2"/>
      <c r="N38" s="2"/>
      <c r="O38" s="1"/>
      <c r="P38" s="1"/>
      <c r="Q38" s="1"/>
      <c r="R38" s="1"/>
      <c r="S38" s="1"/>
      <c r="T38" s="1"/>
    </row>
    <row r="39" spans="1:20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474" t="str">
        <f>'Instructor Calculations'!Y40</f>
        <v/>
      </c>
      <c r="H39" s="96" t="str">
        <f>IF('Instructor Calculations'!P40&lt;0.002,"",'Instructor Calculations'!P40)</f>
        <v/>
      </c>
      <c r="I39" s="2"/>
      <c r="J39" s="2"/>
      <c r="K39" s="2"/>
      <c r="L39" s="2"/>
      <c r="M39" s="2"/>
      <c r="N39" s="2"/>
      <c r="O39" s="1"/>
      <c r="P39" s="1"/>
      <c r="Q39" s="1"/>
      <c r="R39" s="1"/>
      <c r="S39" s="1"/>
      <c r="T39" s="1"/>
    </row>
    <row r="40" spans="1:20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474" t="str">
        <f>'Instructor Calculations'!Y41</f>
        <v/>
      </c>
      <c r="H40" s="96" t="str">
        <f>IF('Instructor Calculations'!P41&lt;0.002,"",'Instructor Calculations'!P41)</f>
        <v/>
      </c>
      <c r="I40" s="2"/>
      <c r="J40" s="2"/>
      <c r="K40" s="2"/>
      <c r="L40" s="2"/>
      <c r="M40" s="2"/>
      <c r="N40" s="2"/>
      <c r="O40" s="1"/>
      <c r="P40" s="1"/>
      <c r="Q40" s="1"/>
      <c r="R40" s="1"/>
      <c r="S40" s="1"/>
      <c r="T40" s="1"/>
    </row>
    <row r="41" spans="1:20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474" t="str">
        <f>'Instructor Calculations'!Y42</f>
        <v/>
      </c>
      <c r="H41" s="96" t="str">
        <f>IF('Instructor Calculations'!P42&lt;0.002,"",'Instructor Calculations'!P42)</f>
        <v/>
      </c>
    </row>
    <row r="42" spans="1:20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474" t="str">
        <f>'Instructor Calculations'!Y43</f>
        <v/>
      </c>
      <c r="H42" s="96" t="str">
        <f>IF('Instructor Calculations'!P43&lt;0.002,"",'Instructor Calculations'!P43)</f>
        <v/>
      </c>
    </row>
    <row r="43" spans="1:20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474" t="str">
        <f>'Instructor Calculations'!Y44</f>
        <v/>
      </c>
      <c r="H43" s="96" t="str">
        <f>IF('Instructor Calculations'!P44&lt;0.002,"",'Instructor Calculations'!P44)</f>
        <v/>
      </c>
    </row>
    <row r="44" spans="1:20" x14ac:dyDescent="0.25">
      <c r="A44" s="93" t="str">
        <f>IF('Instructor Calculations'!A45="","",'Instructor Calculations'!A45)</f>
        <v/>
      </c>
      <c r="B44" s="480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474" t="str">
        <f>'Instructor Calculations'!Y45</f>
        <v/>
      </c>
      <c r="H44" s="96" t="str">
        <f>IF('Instructor Calculations'!P45&lt;0.002,"",'Instructor Calculations'!P45)</f>
        <v/>
      </c>
    </row>
    <row r="45" spans="1:20" x14ac:dyDescent="0.25">
      <c r="A45" s="93" t="str">
        <f>IF('Instructor Calculations'!A46="","",'Instructor Calculations'!A46)</f>
        <v/>
      </c>
      <c r="B45" s="480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474" t="str">
        <f>'Instructor Calculations'!Y46</f>
        <v/>
      </c>
      <c r="H45" s="96" t="str">
        <f>IF('Instructor Calculations'!P46&lt;0.002,"",'Instructor Calculations'!P46)</f>
        <v/>
      </c>
    </row>
    <row r="46" spans="1:20" x14ac:dyDescent="0.25">
      <c r="A46" s="93" t="str">
        <f>IF('Instructor Calculations'!A47="","",'Instructor Calculations'!A47)</f>
        <v/>
      </c>
      <c r="B46" s="480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474" t="str">
        <f>'Instructor Calculations'!Y47</f>
        <v/>
      </c>
      <c r="H46" s="96" t="str">
        <f>IF('Instructor Calculations'!P47&lt;0.002,"",'Instructor Calculations'!P47)</f>
        <v/>
      </c>
    </row>
    <row r="47" spans="1:20" x14ac:dyDescent="0.25">
      <c r="A47" s="93" t="str">
        <f>IF('Instructor Calculations'!A48="","",'Instructor Calculations'!A48)</f>
        <v/>
      </c>
      <c r="B47" s="480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474" t="str">
        <f>'Instructor Calculations'!Y48</f>
        <v/>
      </c>
      <c r="H47" s="96" t="str">
        <f>IF('Instructor Calculations'!P48&lt;0.002,"",'Instructor Calculations'!P48)</f>
        <v/>
      </c>
    </row>
    <row r="48" spans="1:20" x14ac:dyDescent="0.25">
      <c r="A48" s="93" t="str">
        <f>IF('Instructor Calculations'!A49="","",'Instructor Calculations'!A49)</f>
        <v/>
      </c>
      <c r="B48" s="480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474" t="str">
        <f>'Instructor Calculations'!Y49</f>
        <v/>
      </c>
      <c r="H48" s="96" t="str">
        <f>IF('Instructor Calculations'!P49&lt;0.002,"",'Instructor Calculations'!P49)</f>
        <v/>
      </c>
    </row>
    <row r="49" spans="1:8" x14ac:dyDescent="0.25">
      <c r="A49" s="93" t="str">
        <f>IF('Instructor Calculations'!A50="","",'Instructor Calculations'!A50)</f>
        <v/>
      </c>
      <c r="B49" s="480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474" t="str">
        <f>'Instructor Calculations'!Y50</f>
        <v/>
      </c>
      <c r="H49" s="96" t="str">
        <f>IF('Instructor Calculations'!P50&lt;0.002,"",'Instructor Calculations'!P50)</f>
        <v/>
      </c>
    </row>
    <row r="50" spans="1:8" x14ac:dyDescent="0.25">
      <c r="A50" s="93" t="str">
        <f>IF('Instructor Calculations'!A51="","",'Instructor Calculations'!A51)</f>
        <v/>
      </c>
      <c r="B50" s="480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474" t="str">
        <f>'Instructor Calculations'!Y51</f>
        <v/>
      </c>
      <c r="H50" s="96" t="str">
        <f>IF('Instructor Calculations'!P51&lt;0.002,"",'Instructor Calculations'!P51)</f>
        <v/>
      </c>
    </row>
    <row r="51" spans="1:8" x14ac:dyDescent="0.25">
      <c r="A51" s="93" t="str">
        <f>IF('Instructor Calculations'!A52="","",'Instructor Calculations'!A52)</f>
        <v/>
      </c>
      <c r="B51" s="480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474" t="str">
        <f>'Instructor Calculations'!Y52</f>
        <v/>
      </c>
      <c r="H51" s="96" t="str">
        <f>IF('Instructor Calculations'!P52&lt;0.002,"",'Instructor Calculations'!P52)</f>
        <v/>
      </c>
    </row>
    <row r="52" spans="1:8" x14ac:dyDescent="0.25">
      <c r="A52" s="93" t="str">
        <f>IF('Instructor Calculations'!A53="","",'Instructor Calculations'!A53)</f>
        <v/>
      </c>
      <c r="B52" s="480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474" t="str">
        <f>'Instructor Calculations'!Y53</f>
        <v/>
      </c>
      <c r="H52" s="96" t="str">
        <f>IF('Instructor Calculations'!P53&lt;0.002,"",'Instructor Calculations'!P53)</f>
        <v/>
      </c>
    </row>
    <row r="53" spans="1:8" x14ac:dyDescent="0.25">
      <c r="A53" s="93" t="str">
        <f>IF('Instructor Calculations'!A54="","",'Instructor Calculations'!A54)</f>
        <v/>
      </c>
      <c r="B53" s="94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474" t="str">
        <f>'Instructor Calculations'!Y54</f>
        <v/>
      </c>
      <c r="H53" s="96" t="str">
        <f>IF('Instructor Calculations'!P54&lt;0.002,"",'Instructor Calculations'!P54)</f>
        <v/>
      </c>
    </row>
    <row r="54" spans="1:8" x14ac:dyDescent="0.25">
      <c r="B54" s="41"/>
      <c r="C54" s="20"/>
      <c r="D54" s="20"/>
      <c r="E54" s="20"/>
      <c r="F54" s="20"/>
      <c r="G54" s="20"/>
      <c r="H54" s="40"/>
    </row>
    <row r="55" spans="1:8" x14ac:dyDescent="0.25">
      <c r="B55" s="41"/>
      <c r="C55" s="20"/>
      <c r="D55" s="20"/>
      <c r="E55" s="20"/>
      <c r="F55" s="20"/>
      <c r="G55" s="20"/>
      <c r="H55" s="40"/>
    </row>
    <row r="56" spans="1:8" x14ac:dyDescent="0.25">
      <c r="B56" s="40"/>
      <c r="C56" s="20"/>
      <c r="D56" s="20"/>
      <c r="E56" s="20"/>
      <c r="F56" s="20"/>
      <c r="G56" s="20"/>
      <c r="H56" s="40"/>
    </row>
    <row r="57" spans="1:8" x14ac:dyDescent="0.25">
      <c r="B57" s="40"/>
      <c r="C57" s="20"/>
      <c r="D57" s="20"/>
      <c r="E57" s="20"/>
      <c r="F57" s="20"/>
      <c r="G57" s="20"/>
      <c r="H57" s="40"/>
    </row>
    <row r="58" spans="1:8" x14ac:dyDescent="0.25">
      <c r="B58" s="40"/>
      <c r="C58" s="20"/>
      <c r="D58" s="20"/>
      <c r="E58" s="20"/>
      <c r="F58" s="20"/>
      <c r="G58" s="20"/>
      <c r="H58" s="40"/>
    </row>
    <row r="59" spans="1:8" x14ac:dyDescent="0.25">
      <c r="B59" s="40"/>
      <c r="C59" s="40"/>
      <c r="D59" s="40"/>
      <c r="E59" s="40"/>
      <c r="F59" s="40"/>
      <c r="G59" s="40"/>
      <c r="H59" s="40"/>
    </row>
  </sheetData>
  <sheetProtection sheet="1" objects="1" scenarios="1"/>
  <mergeCells count="1">
    <mergeCell ref="I3:M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S278"/>
  <sheetViews>
    <sheetView tabSelected="1" zoomScale="196" zoomScaleNormal="196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H29" sqref="H29"/>
    </sheetView>
  </sheetViews>
  <sheetFormatPr defaultColWidth="8.85546875" defaultRowHeight="15" x14ac:dyDescent="0.25"/>
  <cols>
    <col min="1" max="1" width="23" customWidth="1"/>
    <col min="2" max="2" width="9.85546875" customWidth="1"/>
    <col min="3" max="4" width="5.42578125" customWidth="1"/>
    <col min="5" max="5" width="6" customWidth="1"/>
    <col min="6" max="6" width="5.85546875" customWidth="1"/>
    <col min="7" max="7" width="5.42578125" customWidth="1"/>
    <col min="8" max="8" width="7.140625" customWidth="1"/>
    <col min="14" max="14" width="10" customWidth="1"/>
    <col min="15" max="15" width="15.85546875" customWidth="1"/>
    <col min="16" max="16" width="10.85546875" customWidth="1"/>
    <col min="17" max="17" width="10.28515625" customWidth="1"/>
  </cols>
  <sheetData>
    <row r="1" spans="1:19" ht="24" thickBot="1" x14ac:dyDescent="0.4">
      <c r="A1" s="48" t="str">
        <f>'Instructor Course Information'!J1</f>
        <v>WDS:511</v>
      </c>
      <c r="B1" s="101" t="s">
        <v>107</v>
      </c>
      <c r="C1" s="80"/>
      <c r="D1" s="79"/>
      <c r="E1" s="81"/>
      <c r="F1" s="82"/>
      <c r="G1" s="82"/>
      <c r="H1" s="82"/>
      <c r="I1" s="82"/>
      <c r="J1" s="82"/>
      <c r="K1" s="118"/>
      <c r="L1" s="118"/>
      <c r="M1" s="118"/>
      <c r="N1" s="118"/>
      <c r="O1" s="119"/>
      <c r="P1" s="23"/>
      <c r="Q1" s="1"/>
      <c r="R1" s="1"/>
      <c r="S1" s="1"/>
    </row>
    <row r="2" spans="1:19" ht="16.5" thickTop="1" thickBot="1" x14ac:dyDescent="0.3">
      <c r="A2" s="21"/>
      <c r="B2" s="24"/>
      <c r="C2" s="24"/>
      <c r="D2" s="24"/>
      <c r="E2" s="122" t="s">
        <v>112</v>
      </c>
      <c r="F2" s="107"/>
      <c r="G2" s="107"/>
      <c r="H2" s="107"/>
      <c r="I2" s="107"/>
      <c r="J2" s="129"/>
      <c r="K2" s="275"/>
      <c r="L2" s="117" t="s">
        <v>83</v>
      </c>
      <c r="M2" s="24"/>
      <c r="N2" s="24"/>
      <c r="O2" s="23"/>
      <c r="P2" s="23"/>
      <c r="Q2" s="1"/>
      <c r="R2" s="1"/>
      <c r="S2" s="1"/>
    </row>
    <row r="3" spans="1:19" ht="66.75" customHeight="1" thickTop="1" thickBot="1" x14ac:dyDescent="0.3">
      <c r="A3" s="123" t="str">
        <f>'Instructor Calculations'!A4</f>
        <v>Course Components</v>
      </c>
      <c r="B3" s="124" t="str">
        <f>'Instructor Calculations'!B4</f>
        <v>Approximate Completion Date</v>
      </c>
      <c r="C3" s="124" t="str">
        <f>'Instructor Calculations'!C4</f>
        <v>Course Percentage</v>
      </c>
      <c r="D3" s="124" t="str">
        <f>'Instructor Calculations'!D4</f>
        <v>Bonus Percentage</v>
      </c>
      <c r="E3" s="124" t="str">
        <f>'Instructor Calculations'!E4</f>
        <v>2017 Rough class average</v>
      </c>
      <c r="F3" s="124" t="str">
        <f>'Instructor Calculations'!F4</f>
        <v>Predicted Mark</v>
      </c>
      <c r="G3" s="125" t="str">
        <f>'Instructor Calculations'!M4</f>
        <v>Planned mark</v>
      </c>
      <c r="H3" s="126" t="str">
        <f>'Instructor Calculations'!Q4</f>
        <v>Tracked Mark</v>
      </c>
      <c r="I3" s="274" t="str">
        <f>'Instructor Calculations'!T4</f>
        <v>Tracked  (To-date) GPA</v>
      </c>
      <c r="J3" s="512" t="s">
        <v>189</v>
      </c>
      <c r="K3" s="496"/>
      <c r="L3" s="496"/>
      <c r="M3" s="496"/>
      <c r="N3" s="496"/>
      <c r="O3" s="279">
        <f>'Instructor Calculations'!S55</f>
        <v>92.85090000000001</v>
      </c>
      <c r="P3" s="270"/>
      <c r="Q3" s="271" t="str">
        <f>'Instructor Calculations'!S56</f>
        <v>A+</v>
      </c>
      <c r="R3" s="277"/>
      <c r="S3" s="1"/>
    </row>
    <row r="4" spans="1:19" ht="15.75" thickTop="1" x14ac:dyDescent="0.25">
      <c r="A4" s="93" t="str">
        <f>IF('Instructor Calculations'!A5="","",'Instructor Calculations'!A5)</f>
        <v>PreLab 0 Report/Demo</v>
      </c>
      <c r="B4" s="480">
        <f>IF('Instructor Calculations'!B5="","",'Instructor Calculations'!B5)</f>
        <v>43728</v>
      </c>
      <c r="C4" s="95">
        <f>IF('Instructor Calculations'!C5="","",'Instructor Calculations'!C5)</f>
        <v>1.5</v>
      </c>
      <c r="D4" s="95">
        <f>IF('Instructor Calculations'!D5="","",'Instructor Calculations'!D5)</f>
        <v>0</v>
      </c>
      <c r="E4" s="95">
        <f>IF('Instructor Calculations'!E5="","",'Instructor Calculations'!E5)</f>
        <v>80</v>
      </c>
      <c r="F4" s="95">
        <f>IF('Instructor Calculations'!F5="","",'Instructor Calculations'!F5)</f>
        <v>96</v>
      </c>
      <c r="G4" s="120">
        <f>IF('Instructor Calculations'!M5&lt;0.002,"",'Instructor Calculations'!M5)</f>
        <v>100</v>
      </c>
      <c r="H4" s="474">
        <v>100</v>
      </c>
      <c r="I4" s="121" t="str">
        <f>IF('Instructor Calculations'!T5&lt;0.002,"",'Instructor Calculations'!T5)</f>
        <v>A+</v>
      </c>
      <c r="J4" s="25"/>
      <c r="K4" s="25"/>
      <c r="L4" s="24"/>
      <c r="M4" s="24"/>
      <c r="N4" s="24"/>
      <c r="O4" s="276"/>
      <c r="P4" s="276"/>
      <c r="Q4" s="244"/>
      <c r="R4" s="244"/>
      <c r="S4" s="1"/>
    </row>
    <row r="5" spans="1:19" x14ac:dyDescent="0.25">
      <c r="A5" s="93" t="str">
        <f>IF('Instructor Calculations'!A6="","",'Instructor Calculations'!A6)</f>
        <v>Initial EMA Submit</v>
      </c>
      <c r="B5" s="480">
        <f>IF('Instructor Calculations'!B6="","",'Instructor Calculations'!B6)</f>
        <v>43740</v>
      </c>
      <c r="C5" s="95">
        <f>IF('Instructor Calculations'!C6="","",'Instructor Calculations'!C6)</f>
        <v>2</v>
      </c>
      <c r="D5" s="95">
        <f>IF('Instructor Calculations'!D6="","",'Instructor Calculations'!D6)</f>
        <v>0</v>
      </c>
      <c r="E5" s="95">
        <f>IF('Instructor Calculations'!E6="","",'Instructor Calculations'!E6)</f>
        <v>75</v>
      </c>
      <c r="F5" s="95">
        <f>IF('Instructor Calculations'!F6="","",'Instructor Calculations'!F6)</f>
        <v>86.25</v>
      </c>
      <c r="G5" s="120">
        <f>IF('Instructor Calculations'!M6&lt;0.002,"",'Instructor Calculations'!M6)</f>
        <v>100</v>
      </c>
      <c r="H5" s="474">
        <v>100</v>
      </c>
      <c r="I5" s="121" t="str">
        <f>IF('Instructor Calculations'!T6&lt;0.002,"",'Instructor Calculations'!T6)</f>
        <v>A+</v>
      </c>
      <c r="Q5" s="1"/>
      <c r="R5" s="1"/>
      <c r="S5" s="1"/>
    </row>
    <row r="6" spans="1:19" x14ac:dyDescent="0.25">
      <c r="A6" s="93" t="str">
        <f>IF('Instructor Calculations'!A7="","",'Instructor Calculations'!A7)</f>
        <v>Lab 0 Demo</v>
      </c>
      <c r="B6" s="480">
        <f>IF('Instructor Calculations'!B7="","",'Instructor Calculations'!B7)</f>
        <v>43740</v>
      </c>
      <c r="C6" s="95">
        <f>IF('Instructor Calculations'!C7="","",'Instructor Calculations'!C7)</f>
        <v>1.6</v>
      </c>
      <c r="D6" s="95">
        <f>IF('Instructor Calculations'!D7="","",'Instructor Calculations'!D7)</f>
        <v>0</v>
      </c>
      <c r="E6" s="95">
        <f>IF('Instructor Calculations'!E7="","",'Instructor Calculations'!E7)</f>
        <v>80</v>
      </c>
      <c r="F6" s="95">
        <f>IF('Instructor Calculations'!F7="","",'Instructor Calculations'!F7)</f>
        <v>96</v>
      </c>
      <c r="G6" s="120">
        <f>IF('Instructor Calculations'!M7&lt;0.002,"",'Instructor Calculations'!M7)</f>
        <v>100</v>
      </c>
      <c r="H6" s="482">
        <v>100</v>
      </c>
      <c r="I6" s="121" t="str">
        <f>IF('Instructor Calculations'!T7&lt;0.002,"",'Instructor Calculations'!T7)</f>
        <v>A+</v>
      </c>
      <c r="J6" s="25"/>
      <c r="K6" s="25"/>
      <c r="L6" s="24"/>
      <c r="M6" s="24"/>
      <c r="N6" s="24"/>
      <c r="O6" s="23"/>
      <c r="P6" s="23"/>
      <c r="Q6" s="1"/>
      <c r="R6" s="1"/>
      <c r="S6" s="1"/>
    </row>
    <row r="7" spans="1:19" x14ac:dyDescent="0.25">
      <c r="A7" s="93" t="str">
        <f>IF('Instructor Calculations'!A8="","",'Instructor Calculations'!A8)</f>
        <v>Quiz 1</v>
      </c>
      <c r="B7" s="480">
        <f>IF('Instructor Calculations'!B8="","",'Instructor Calculations'!B8)</f>
        <v>43752</v>
      </c>
      <c r="C7" s="95">
        <f>IF('Instructor Calculations'!C8="","",'Instructor Calculations'!C8)</f>
        <v>4</v>
      </c>
      <c r="D7" s="95">
        <f>IF('Instructor Calculations'!D8="","",'Instructor Calculations'!D8)</f>
        <v>0</v>
      </c>
      <c r="E7" s="95">
        <f>IF('Instructor Calculations'!E8="","",'Instructor Calculations'!E8)</f>
        <v>65</v>
      </c>
      <c r="F7" s="95">
        <f>IF('Instructor Calculations'!F8="","",'Instructor Calculations'!F8)</f>
        <v>71.5</v>
      </c>
      <c r="G7" s="120">
        <f>IF('Instructor Calculations'!M8&lt;0.002,"",'Instructor Calculations'!M8)</f>
        <v>75</v>
      </c>
      <c r="H7" s="474">
        <v>83.3</v>
      </c>
      <c r="I7" s="121" t="str">
        <f>IF('Instructor Calculations'!T8&lt;0.002,"",'Instructor Calculations'!T8)</f>
        <v>B+/A-/A</v>
      </c>
      <c r="J7" s="25"/>
      <c r="K7" s="25"/>
      <c r="L7" s="24"/>
      <c r="M7" s="24"/>
      <c r="N7" s="24"/>
      <c r="O7" s="23"/>
      <c r="P7" s="23"/>
      <c r="Q7" s="1"/>
      <c r="R7" s="1"/>
      <c r="S7" s="1"/>
    </row>
    <row r="8" spans="1:19" x14ac:dyDescent="0.25">
      <c r="A8" s="93" t="str">
        <f>IF('Instructor Calculations'!A9="","",'Instructor Calculations'!A9)</f>
        <v>In Quiz 1 prediction</v>
      </c>
      <c r="B8" s="480">
        <f>IF('Instructor Calculations'!B9="","",'Instructor Calculations'!B9)</f>
        <v>43752</v>
      </c>
      <c r="C8" s="95">
        <f>IF('Instructor Calculations'!C9="","",'Instructor Calculations'!C9)</f>
        <v>0</v>
      </c>
      <c r="D8" s="95">
        <f>IF('Instructor Calculations'!D9="","",'Instructor Calculations'!D9)</f>
        <v>0.5</v>
      </c>
      <c r="E8" s="95">
        <f>IF('Instructor Calculations'!E9="","",'Instructor Calculations'!E9)</f>
        <v>1E-3</v>
      </c>
      <c r="F8" s="95">
        <f>IF('Instructor Calculations'!F9="","",'Instructor Calculations'!F9)</f>
        <v>1.15E-3</v>
      </c>
      <c r="G8" s="120">
        <f>IF('Instructor Calculations'!M9&lt;0.002,"",'Instructor Calculations'!M9)</f>
        <v>80</v>
      </c>
      <c r="H8" s="474">
        <v>100</v>
      </c>
      <c r="I8" s="121" t="str">
        <f>IF('Instructor Calculations'!T9&lt;0.002,"",'Instructor Calculations'!T9)</f>
        <v>A+</v>
      </c>
      <c r="J8" s="25"/>
      <c r="K8" s="25"/>
      <c r="L8" s="24"/>
      <c r="M8" s="24"/>
      <c r="N8" s="24"/>
      <c r="O8" s="23"/>
      <c r="P8" s="23"/>
      <c r="Q8" s="1"/>
      <c r="R8" s="1"/>
      <c r="S8" s="1"/>
    </row>
    <row r="9" spans="1:19" x14ac:dyDescent="0.25">
      <c r="A9" s="93" t="str">
        <f>IF('Instructor Calculations'!A10="","",'Instructor Calculations'!A10)</f>
        <v>Post Quiz 1 EMA Submit</v>
      </c>
      <c r="B9" s="480">
        <f>IF('Instructor Calculations'!B10="","",'Instructor Calculations'!B10)</f>
        <v>43753</v>
      </c>
      <c r="C9" s="95">
        <f>IF('Instructor Calculations'!C10="","",'Instructor Calculations'!C10)</f>
        <v>0</v>
      </c>
      <c r="D9" s="95">
        <f>IF('Instructor Calculations'!D10="","",'Instructor Calculations'!D10)</f>
        <v>0.5</v>
      </c>
      <c r="E9" s="95">
        <f>IF('Instructor Calculations'!E10="","",'Instructor Calculations'!E10)</f>
        <v>1E-3</v>
      </c>
      <c r="F9" s="95">
        <f>IF('Instructor Calculations'!F10="","",'Instructor Calculations'!F10)</f>
        <v>1.15E-3</v>
      </c>
      <c r="G9" s="120">
        <f>IF('Instructor Calculations'!M10&lt;0.002,"",'Instructor Calculations'!M10)</f>
        <v>80</v>
      </c>
      <c r="H9" s="474">
        <v>100</v>
      </c>
      <c r="I9" s="121" t="str">
        <f>IF('Instructor Calculations'!T10&lt;0.002,"",'Instructor Calculations'!T10)</f>
        <v>A+</v>
      </c>
      <c r="J9" s="25"/>
      <c r="K9" s="25"/>
      <c r="L9" s="24"/>
      <c r="M9" s="24"/>
      <c r="N9" s="24"/>
      <c r="O9" s="23"/>
      <c r="P9" s="23"/>
      <c r="Q9" s="1"/>
      <c r="R9" s="1"/>
      <c r="S9" s="1"/>
    </row>
    <row r="10" spans="1:19" x14ac:dyDescent="0.25">
      <c r="A10" s="93" t="str">
        <f>IF('Instructor Calculations'!A11="","",'Instructor Calculations'!A11)</f>
        <v>Lab 1 Demo</v>
      </c>
      <c r="B10" s="480">
        <f>IF('Instructor Calculations'!B11="","",'Instructor Calculations'!B11)</f>
        <v>43754</v>
      </c>
      <c r="C10" s="95">
        <f>IF('Instructor Calculations'!C11="","",'Instructor Calculations'!C11)</f>
        <v>4</v>
      </c>
      <c r="D10" s="95">
        <f>IF('Instructor Calculations'!D11="","",'Instructor Calculations'!D11)</f>
        <v>0</v>
      </c>
      <c r="E10" s="95">
        <f>IF('Instructor Calculations'!E11="","",'Instructor Calculations'!E11)</f>
        <v>80</v>
      </c>
      <c r="F10" s="95">
        <f>IF('Instructor Calculations'!F11="","",'Instructor Calculations'!F11)</f>
        <v>96</v>
      </c>
      <c r="G10" s="120">
        <f>IF('Instructor Calculations'!M11&lt;0.002,"",'Instructor Calculations'!M11)</f>
        <v>100</v>
      </c>
      <c r="H10" s="474">
        <v>100</v>
      </c>
      <c r="I10" s="121" t="str">
        <f>IF('Instructor Calculations'!T11&lt;0.002,"",'Instructor Calculations'!T11)</f>
        <v>A+</v>
      </c>
      <c r="J10" s="25"/>
      <c r="K10" s="25"/>
      <c r="L10" s="24"/>
      <c r="M10" s="24"/>
      <c r="N10" s="24"/>
      <c r="O10" s="23"/>
      <c r="P10" s="23"/>
      <c r="Q10" s="1"/>
      <c r="R10" s="1"/>
      <c r="S10" s="1"/>
    </row>
    <row r="11" spans="1:19" x14ac:dyDescent="0.25">
      <c r="A11" s="93" t="str">
        <f>IF('Instructor Calculations'!A12="","",'Instructor Calculations'!A12)</f>
        <v>Assignment 1</v>
      </c>
      <c r="B11" s="480">
        <f>IF('Instructor Calculations'!B12="","",'Instructor Calculations'!B12)</f>
        <v>43758</v>
      </c>
      <c r="C11" s="95">
        <f>IF('Instructor Calculations'!C12="","",'Instructor Calculations'!C12)</f>
        <v>3</v>
      </c>
      <c r="D11" s="95">
        <f>IF('Instructor Calculations'!D12="","",'Instructor Calculations'!D12)</f>
        <v>0</v>
      </c>
      <c r="E11" s="95">
        <f>IF('Instructor Calculations'!E12="","",'Instructor Calculations'!E12)</f>
        <v>80</v>
      </c>
      <c r="F11" s="95">
        <f>IF('Instructor Calculations'!F12="","",'Instructor Calculations'!F12)</f>
        <v>92</v>
      </c>
      <c r="G11" s="120">
        <f>IF('Instructor Calculations'!M12&lt;0.002,"",'Instructor Calculations'!M12)</f>
        <v>90</v>
      </c>
      <c r="H11" s="474">
        <v>100</v>
      </c>
      <c r="I11" s="121" t="str">
        <f>IF('Instructor Calculations'!T12&lt;0.002,"",'Instructor Calculations'!T12)</f>
        <v>A+</v>
      </c>
      <c r="J11" s="25"/>
      <c r="K11" s="25"/>
      <c r="L11" s="24"/>
      <c r="M11" s="24"/>
      <c r="N11" s="24"/>
      <c r="O11" s="23"/>
      <c r="P11" s="23"/>
      <c r="Q11" s="1"/>
      <c r="R11" s="1"/>
      <c r="S11" s="1"/>
    </row>
    <row r="12" spans="1:19" x14ac:dyDescent="0.25">
      <c r="A12" s="93" t="str">
        <f>IF('Instructor Calculations'!A13="","",'Instructor Calculations'!A13)</f>
        <v>Assign 1 Early Bonus</v>
      </c>
      <c r="B12" s="480">
        <f>IF('Instructor Calculations'!B13="","",'Instructor Calculations'!B13)</f>
        <v>43758</v>
      </c>
      <c r="C12" s="95">
        <f>IF('Instructor Calculations'!C13="","",'Instructor Calculations'!C13)</f>
        <v>0</v>
      </c>
      <c r="D12" s="95">
        <f>IF('Instructor Calculations'!D13="","",'Instructor Calculations'!D13)</f>
        <v>0.5</v>
      </c>
      <c r="E12" s="95">
        <f>IF('Instructor Calculations'!E13="","",'Instructor Calculations'!E13)</f>
        <v>1E-3</v>
      </c>
      <c r="F12" s="95">
        <f>IF('Instructor Calculations'!F13="","",'Instructor Calculations'!F13)</f>
        <v>1.15E-3</v>
      </c>
      <c r="G12" s="120">
        <f>IF('Instructor Calculations'!M13&lt;0.002,"",'Instructor Calculations'!M13)</f>
        <v>100</v>
      </c>
      <c r="H12" s="482">
        <v>0</v>
      </c>
      <c r="I12" s="121" t="str">
        <f>IF('Instructor Calculations'!T13&lt;0.002,"",'Instructor Calculations'!T13)</f>
        <v/>
      </c>
      <c r="J12" s="25"/>
      <c r="K12" s="25"/>
      <c r="L12" s="24"/>
      <c r="M12" s="24"/>
      <c r="N12" s="24"/>
      <c r="O12" s="23"/>
      <c r="P12" s="23"/>
      <c r="Q12" s="1"/>
      <c r="R12" s="1"/>
      <c r="S12" s="1"/>
    </row>
    <row r="13" spans="1:19" x14ac:dyDescent="0.25">
      <c r="A13" s="93" t="str">
        <f>IF('Instructor Calculations'!A14="","",'Instructor Calculations'!A14)</f>
        <v>Assignment 2</v>
      </c>
      <c r="B13" s="480">
        <f>IF('Instructor Calculations'!B14="","",'Instructor Calculations'!B14)</f>
        <v>43767</v>
      </c>
      <c r="C13" s="95">
        <f>IF('Instructor Calculations'!C14="","",'Instructor Calculations'!C14)</f>
        <v>4</v>
      </c>
      <c r="D13" s="95">
        <f>IF('Instructor Calculations'!D14="","",'Instructor Calculations'!D14)</f>
        <v>0</v>
      </c>
      <c r="E13" s="95">
        <f>IF('Instructor Calculations'!E14="","",'Instructor Calculations'!E14)</f>
        <v>75</v>
      </c>
      <c r="F13" s="95">
        <f>IF('Instructor Calculations'!F14="","",'Instructor Calculations'!F14)</f>
        <v>86.25</v>
      </c>
      <c r="G13" s="120">
        <f>IF('Instructor Calculations'!M14&lt;0.002,"",'Instructor Calculations'!M14)</f>
        <v>90</v>
      </c>
      <c r="H13" s="474">
        <v>100</v>
      </c>
      <c r="I13" s="121" t="str">
        <f>IF('Instructor Calculations'!T14&lt;0.002,"",'Instructor Calculations'!T14)</f>
        <v>A+</v>
      </c>
      <c r="J13" s="25"/>
      <c r="K13" s="25"/>
      <c r="L13" s="24"/>
      <c r="M13" s="24"/>
      <c r="N13" s="24"/>
      <c r="O13" s="23"/>
      <c r="P13" s="23"/>
      <c r="Q13" s="1"/>
      <c r="R13" s="1"/>
      <c r="S13" s="1"/>
    </row>
    <row r="14" spans="1:19" x14ac:dyDescent="0.25">
      <c r="A14" s="93" t="str">
        <f>IF('Instructor Calculations'!A15="","",'Instructor Calculations'!A15)</f>
        <v>Lab 2 Demo</v>
      </c>
      <c r="B14" s="480">
        <f>IF('Instructor Calculations'!B15="","",'Instructor Calculations'!B15)</f>
        <v>43768</v>
      </c>
      <c r="C14" s="95">
        <f>IF('Instructor Calculations'!C15="","",'Instructor Calculations'!C15)</f>
        <v>4</v>
      </c>
      <c r="D14" s="95">
        <f>IF('Instructor Calculations'!D15="","",'Instructor Calculations'!D15)</f>
        <v>0</v>
      </c>
      <c r="E14" s="95">
        <f>IF('Instructor Calculations'!E15="","",'Instructor Calculations'!E15)</f>
        <v>80</v>
      </c>
      <c r="F14" s="95">
        <f>IF('Instructor Calculations'!F15="","",'Instructor Calculations'!F15)</f>
        <v>96</v>
      </c>
      <c r="G14" s="120">
        <f>IF('Instructor Calculations'!M15&lt;0.002,"",'Instructor Calculations'!M15)</f>
        <v>100</v>
      </c>
      <c r="H14" s="474">
        <v>100</v>
      </c>
      <c r="I14" s="121" t="str">
        <f>IF('Instructor Calculations'!T15&lt;0.002,"",'Instructor Calculations'!T15)</f>
        <v>A+</v>
      </c>
      <c r="J14" s="25"/>
      <c r="K14" s="25"/>
      <c r="L14" s="24"/>
      <c r="M14" s="24"/>
      <c r="N14" s="24"/>
      <c r="O14" s="23"/>
      <c r="P14" s="23"/>
      <c r="Q14" s="1"/>
      <c r="R14" s="1"/>
      <c r="S14" s="1"/>
    </row>
    <row r="15" spans="1:19" x14ac:dyDescent="0.25">
      <c r="A15" s="93" t="str">
        <f>IF('Instructor Calculations'!A16="","",'Instructor Calculations'!A16)</f>
        <v>Lab  2 Report</v>
      </c>
      <c r="B15" s="480">
        <f>IF('Instructor Calculations'!B16="","",'Instructor Calculations'!B16)</f>
        <v>43768</v>
      </c>
      <c r="C15" s="95">
        <f>IF('Instructor Calculations'!C16="","",'Instructor Calculations'!C16)</f>
        <v>2.25</v>
      </c>
      <c r="D15" s="95">
        <f>IF('Instructor Calculations'!D16="","",'Instructor Calculations'!D16)</f>
        <v>0</v>
      </c>
      <c r="E15" s="95">
        <f>IF('Instructor Calculations'!E16="","",'Instructor Calculations'!E16)</f>
        <v>80</v>
      </c>
      <c r="F15" s="95">
        <f>IF('Instructor Calculations'!F16="","",'Instructor Calculations'!F16)</f>
        <v>96</v>
      </c>
      <c r="G15" s="120">
        <f>IF('Instructor Calculations'!M16&lt;0.002,"",'Instructor Calculations'!M16)</f>
        <v>90</v>
      </c>
      <c r="H15" s="474">
        <v>100</v>
      </c>
      <c r="I15" s="121" t="str">
        <f>IF('Instructor Calculations'!T16&lt;0.002,"",'Instructor Calculations'!T16)</f>
        <v>A+</v>
      </c>
      <c r="J15" s="25"/>
      <c r="K15" s="25"/>
      <c r="L15" s="24"/>
      <c r="M15" s="24"/>
      <c r="N15" s="24"/>
      <c r="O15" s="23"/>
      <c r="P15" s="23"/>
      <c r="Q15" s="1"/>
      <c r="R15" s="1"/>
      <c r="S15" s="1"/>
    </row>
    <row r="16" spans="1:19" x14ac:dyDescent="0.25">
      <c r="A16" s="93" t="str">
        <f>IF('Instructor Calculations'!A17="","",'Instructor Calculations'!A17)</f>
        <v>Assign 2 Early Bonus</v>
      </c>
      <c r="B16" s="480">
        <f>IF('Instructor Calculations'!B17="","",'Instructor Calculations'!B17)</f>
        <v>43768</v>
      </c>
      <c r="C16" s="95">
        <f>IF('Instructor Calculations'!C17="","",'Instructor Calculations'!C17)</f>
        <v>0</v>
      </c>
      <c r="D16" s="95">
        <f>IF('Instructor Calculations'!D17="","",'Instructor Calculations'!D17)</f>
        <v>0.5</v>
      </c>
      <c r="E16" s="95">
        <f>IF('Instructor Calculations'!E17="","",'Instructor Calculations'!E17)</f>
        <v>1E-3</v>
      </c>
      <c r="F16" s="95">
        <f>IF('Instructor Calculations'!F17="","",'Instructor Calculations'!F17)</f>
        <v>1.15E-3</v>
      </c>
      <c r="G16" s="120">
        <f>IF('Instructor Calculations'!M17&lt;0.002,"",'Instructor Calculations'!M17)</f>
        <v>80</v>
      </c>
      <c r="H16" s="474">
        <v>0</v>
      </c>
      <c r="I16" s="121" t="str">
        <f>IF('Instructor Calculations'!T17&lt;0.002,"",'Instructor Calculations'!T17)</f>
        <v/>
      </c>
      <c r="J16" s="25"/>
      <c r="K16" s="25"/>
      <c r="L16" s="24"/>
      <c r="M16" s="24"/>
      <c r="N16" s="24"/>
      <c r="O16" s="23"/>
      <c r="P16" s="23"/>
      <c r="Q16" s="1"/>
      <c r="R16" s="1"/>
      <c r="S16" s="1"/>
    </row>
    <row r="17" spans="1:19" x14ac:dyDescent="0.25">
      <c r="A17" s="93" t="str">
        <f>IF('Instructor Calculations'!A18="","",'Instructor Calculations'!A18)</f>
        <v>Midterm</v>
      </c>
      <c r="B17" s="480">
        <f>IF('Instructor Calculations'!B18="","",'Instructor Calculations'!B18)</f>
        <v>43769</v>
      </c>
      <c r="C17" s="95">
        <f>IF('Instructor Calculations'!C18="","",'Instructor Calculations'!C18)</f>
        <v>17</v>
      </c>
      <c r="D17" s="95">
        <f>IF('Instructor Calculations'!D18="","",'Instructor Calculations'!D18)</f>
        <v>0</v>
      </c>
      <c r="E17" s="95">
        <f>IF('Instructor Calculations'!E18="","",'Instructor Calculations'!E18)</f>
        <v>65</v>
      </c>
      <c r="F17" s="95">
        <f>IF('Instructor Calculations'!F18="","",'Instructor Calculations'!F18)</f>
        <v>71.5</v>
      </c>
      <c r="G17" s="120">
        <f>IF('Instructor Calculations'!M18&lt;0.002,"",'Instructor Calculations'!M18)</f>
        <v>75</v>
      </c>
      <c r="H17" s="474">
        <v>101.17</v>
      </c>
      <c r="I17" s="121" t="str">
        <f>IF('Instructor Calculations'!T18&lt;0.002,"",'Instructor Calculations'!T18)</f>
        <v>A+</v>
      </c>
      <c r="J17" s="25"/>
      <c r="K17" s="25"/>
      <c r="L17" s="24"/>
      <c r="M17" s="24"/>
      <c r="N17" s="24"/>
      <c r="O17" s="23"/>
      <c r="P17" s="23"/>
      <c r="Q17" s="1"/>
      <c r="R17" s="1"/>
      <c r="S17" s="1"/>
    </row>
    <row r="18" spans="1:19" x14ac:dyDescent="0.25">
      <c r="A18" s="93" t="str">
        <f>IF('Instructor Calculations'!A19="","",'Instructor Calculations'!A19)</f>
        <v>In Midterm prediction</v>
      </c>
      <c r="B18" s="480">
        <f>IF('Instructor Calculations'!B19="","",'Instructor Calculations'!B19)</f>
        <v>43769</v>
      </c>
      <c r="C18" s="95">
        <f>IF('Instructor Calculations'!C19="","",'Instructor Calculations'!C19)</f>
        <v>0</v>
      </c>
      <c r="D18" s="95">
        <f>IF('Instructor Calculations'!D19="","",'Instructor Calculations'!D19)</f>
        <v>0.5</v>
      </c>
      <c r="E18" s="95">
        <f>IF('Instructor Calculations'!E19="","",'Instructor Calculations'!E19)</f>
        <v>1E-3</v>
      </c>
      <c r="F18" s="95">
        <f>IF('Instructor Calculations'!F19="","",'Instructor Calculations'!F19)</f>
        <v>1.15E-3</v>
      </c>
      <c r="G18" s="120">
        <f>IF('Instructor Calculations'!M19&lt;0.002,"",'Instructor Calculations'!M19)</f>
        <v>80</v>
      </c>
      <c r="H18" s="474">
        <v>100</v>
      </c>
      <c r="I18" s="121" t="str">
        <f>IF('Instructor Calculations'!T19&lt;0.002,"",'Instructor Calculations'!T19)</f>
        <v>A+</v>
      </c>
      <c r="J18" s="25"/>
      <c r="K18" s="25"/>
      <c r="L18" s="24"/>
      <c r="M18" s="24"/>
      <c r="N18" s="24"/>
      <c r="O18" s="23"/>
      <c r="P18" s="23"/>
      <c r="Q18" s="1"/>
      <c r="R18" s="1"/>
      <c r="S18" s="1"/>
    </row>
    <row r="19" spans="1:19" x14ac:dyDescent="0.25">
      <c r="A19" s="93" t="str">
        <f>IF('Instructor Calculations'!A20="","",'Instructor Calculations'!A20)</f>
        <v>Post Midterm EMA Submit</v>
      </c>
      <c r="B19" s="480">
        <f>IF('Instructor Calculations'!B20="","",'Instructor Calculations'!B20)</f>
        <v>43771</v>
      </c>
      <c r="C19" s="95">
        <f>IF('Instructor Calculations'!C20="","",'Instructor Calculations'!C20)</f>
        <v>0</v>
      </c>
      <c r="D19" s="95">
        <f>IF('Instructor Calculations'!D20="","",'Instructor Calculations'!D20)</f>
        <v>0.5</v>
      </c>
      <c r="E19" s="95">
        <f>IF('Instructor Calculations'!E20="","",'Instructor Calculations'!E20)</f>
        <v>1E-3</v>
      </c>
      <c r="F19" s="95">
        <f>IF('Instructor Calculations'!F20="","",'Instructor Calculations'!F20)</f>
        <v>1.15E-3</v>
      </c>
      <c r="G19" s="120">
        <f>IF('Instructor Calculations'!M20&lt;0.002,"",'Instructor Calculations'!M20)</f>
        <v>70</v>
      </c>
      <c r="H19" s="474">
        <v>100</v>
      </c>
      <c r="I19" s="121" t="str">
        <f>IF('Instructor Calculations'!T20&lt;0.002,"",'Instructor Calculations'!T20)</f>
        <v>A+</v>
      </c>
      <c r="J19" s="25"/>
      <c r="K19" s="25"/>
      <c r="L19" s="24"/>
      <c r="M19" s="24"/>
      <c r="N19" s="24"/>
      <c r="O19" s="23"/>
      <c r="P19" s="23"/>
      <c r="Q19" s="1"/>
      <c r="R19" s="1"/>
      <c r="S19" s="1"/>
    </row>
    <row r="20" spans="1:19" x14ac:dyDescent="0.25">
      <c r="A20" s="93" t="str">
        <f>IF('Instructor Calculations'!A21="","",'Instructor Calculations'!A21)</f>
        <v>Post Quiz 3 EMASubmit</v>
      </c>
      <c r="B20" s="480">
        <f>IF('Instructor Calculations'!B21="","",'Instructor Calculations'!B21)</f>
        <v>43789</v>
      </c>
      <c r="C20" s="95">
        <f>IF('Instructor Calculations'!C21="","",'Instructor Calculations'!C21)</f>
        <v>0</v>
      </c>
      <c r="D20" s="95">
        <f>IF('Instructor Calculations'!D21="","",'Instructor Calculations'!D21)</f>
        <v>0.5</v>
      </c>
      <c r="E20" s="95">
        <f>IF('Instructor Calculations'!E21="","",'Instructor Calculations'!E21)</f>
        <v>1E-3</v>
      </c>
      <c r="F20" s="95">
        <f>IF('Instructor Calculations'!F21="","",'Instructor Calculations'!F21)</f>
        <v>1.15E-3</v>
      </c>
      <c r="G20" s="120">
        <f>IF('Instructor Calculations'!M21&lt;0.002,"",'Instructor Calculations'!M21)</f>
        <v>80</v>
      </c>
      <c r="H20" s="482">
        <v>100</v>
      </c>
      <c r="I20" s="121" t="str">
        <f>IF('Instructor Calculations'!T21&lt;0.002,"",'Instructor Calculations'!T21)</f>
        <v>A+</v>
      </c>
      <c r="J20" s="25"/>
      <c r="K20" s="25"/>
      <c r="L20" s="24"/>
      <c r="M20" s="24"/>
      <c r="N20" s="24"/>
      <c r="O20" s="23"/>
      <c r="P20" s="23"/>
      <c r="Q20" s="1"/>
      <c r="R20" s="1"/>
      <c r="S20" s="1"/>
    </row>
    <row r="21" spans="1:19" x14ac:dyDescent="0.25">
      <c r="A21" s="93" t="str">
        <f>IF('Instructor Calculations'!A22="","",'Instructor Calculations'!A22)</f>
        <v>Lab 3 Demo</v>
      </c>
      <c r="B21" s="480">
        <f>IF('Instructor Calculations'!B22="","",'Instructor Calculations'!B22)</f>
        <v>43789</v>
      </c>
      <c r="C21" s="95">
        <f>IF('Instructor Calculations'!C22="","",'Instructor Calculations'!C22)</f>
        <v>2.4</v>
      </c>
      <c r="D21" s="95">
        <f>IF('Instructor Calculations'!D22="","",'Instructor Calculations'!D22)</f>
        <v>0</v>
      </c>
      <c r="E21" s="95">
        <f>IF('Instructor Calculations'!E22="","",'Instructor Calculations'!E22)</f>
        <v>80</v>
      </c>
      <c r="F21" s="95">
        <f>IF('Instructor Calculations'!F22="","",'Instructor Calculations'!F22)</f>
        <v>96</v>
      </c>
      <c r="G21" s="120">
        <f>IF('Instructor Calculations'!M22&lt;0.002,"",'Instructor Calculations'!M22)</f>
        <v>80</v>
      </c>
      <c r="H21" s="474">
        <v>100</v>
      </c>
      <c r="I21" s="121" t="str">
        <f>IF('Instructor Calculations'!T22&lt;0.002,"",'Instructor Calculations'!T22)</f>
        <v>A+</v>
      </c>
      <c r="J21" s="25"/>
      <c r="K21" s="25"/>
      <c r="L21" s="24"/>
      <c r="M21" s="24"/>
      <c r="N21" s="24"/>
      <c r="O21" s="23"/>
      <c r="P21" s="23"/>
      <c r="Q21" s="1"/>
      <c r="R21" s="1"/>
      <c r="S21" s="1"/>
    </row>
    <row r="22" spans="1:19" x14ac:dyDescent="0.25">
      <c r="A22" s="93" t="str">
        <f>IF('Instructor Calculations'!A23="","",'Instructor Calculations'!A23)</f>
        <v>Quiz 3</v>
      </c>
      <c r="B22" s="480">
        <f>IF('Instructor Calculations'!B23="","",'Instructor Calculations'!B23)</f>
        <v>43791</v>
      </c>
      <c r="C22" s="95">
        <f>IF('Instructor Calculations'!C23="","",'Instructor Calculations'!C23)</f>
        <v>4</v>
      </c>
      <c r="D22" s="95">
        <f>IF('Instructor Calculations'!D23="","",'Instructor Calculations'!D23)</f>
        <v>0</v>
      </c>
      <c r="E22" s="95">
        <f>IF('Instructor Calculations'!E23="","",'Instructor Calculations'!E23)</f>
        <v>65</v>
      </c>
      <c r="F22" s="95">
        <f>IF('Instructor Calculations'!F23="","",'Instructor Calculations'!F23)</f>
        <v>71.5</v>
      </c>
      <c r="G22" s="120">
        <f>IF('Instructor Calculations'!M23&lt;0.002,"",'Instructor Calculations'!M23)</f>
        <v>70</v>
      </c>
      <c r="H22" s="474">
        <v>102.5</v>
      </c>
      <c r="I22" s="121" t="str">
        <f>IF('Instructor Calculations'!T23&lt;0.002,"",'Instructor Calculations'!T23)</f>
        <v>A+</v>
      </c>
      <c r="J22" s="25"/>
      <c r="K22" s="25"/>
      <c r="L22" s="24"/>
      <c r="M22" s="24"/>
      <c r="N22" s="24"/>
      <c r="O22" s="23"/>
      <c r="P22" s="23"/>
      <c r="Q22" s="1"/>
      <c r="R22" s="1"/>
      <c r="S22" s="1"/>
    </row>
    <row r="23" spans="1:19" x14ac:dyDescent="0.25">
      <c r="A23" s="93" t="str">
        <f>IF('Instructor Calculations'!A24="","",'Instructor Calculations'!A24)</f>
        <v>In Quiz 3 prediction</v>
      </c>
      <c r="B23" s="480">
        <f>IF('Instructor Calculations'!B24="","",'Instructor Calculations'!B24)</f>
        <v>43791</v>
      </c>
      <c r="C23" s="95">
        <f>IF('Instructor Calculations'!C24="","",'Instructor Calculations'!C24)</f>
        <v>0</v>
      </c>
      <c r="D23" s="95">
        <f>IF('Instructor Calculations'!D24="","",'Instructor Calculations'!D24)</f>
        <v>0.5</v>
      </c>
      <c r="E23" s="95">
        <f>IF('Instructor Calculations'!E24="","",'Instructor Calculations'!E24)</f>
        <v>1E-3</v>
      </c>
      <c r="F23" s="95">
        <f>IF('Instructor Calculations'!F24="","",'Instructor Calculations'!F24)</f>
        <v>1.15E-3</v>
      </c>
      <c r="G23" s="120">
        <f>IF('Instructor Calculations'!M24&lt;0.002,"",'Instructor Calculations'!M24)</f>
        <v>80</v>
      </c>
      <c r="H23" s="474">
        <v>100</v>
      </c>
      <c r="I23" s="121" t="str">
        <f>IF('Instructor Calculations'!T24&lt;0.002,"",'Instructor Calculations'!T24)</f>
        <v>A+</v>
      </c>
      <c r="J23" s="25"/>
      <c r="K23" s="25"/>
      <c r="L23" s="24"/>
      <c r="M23" s="24"/>
      <c r="N23" s="24"/>
      <c r="O23" s="23"/>
      <c r="P23" s="23"/>
      <c r="Q23" s="1"/>
      <c r="R23" s="1"/>
      <c r="S23" s="1"/>
    </row>
    <row r="24" spans="1:19" x14ac:dyDescent="0.25">
      <c r="A24" s="93" t="str">
        <f>IF('Instructor Calculations'!A25="","",'Instructor Calculations'!A25)</f>
        <v>Lab 4 Demo</v>
      </c>
      <c r="B24" s="480">
        <f>IF('Instructor Calculations'!B25="","",'Instructor Calculations'!B25)</f>
        <v>43802</v>
      </c>
      <c r="C24" s="95">
        <f>IF('Instructor Calculations'!C25="","",'Instructor Calculations'!C25)</f>
        <v>4</v>
      </c>
      <c r="D24" s="95">
        <f>IF('Instructor Calculations'!D25="","",'Instructor Calculations'!D25)</f>
        <v>0</v>
      </c>
      <c r="E24" s="95">
        <f>IF('Instructor Calculations'!E25="","",'Instructor Calculations'!E25)</f>
        <v>70</v>
      </c>
      <c r="F24" s="95">
        <f>IF('Instructor Calculations'!F25="","",'Instructor Calculations'!F25)</f>
        <v>84</v>
      </c>
      <c r="G24" s="120">
        <f>IF('Instructor Calculations'!M25&lt;0.002,"",'Instructor Calculations'!M25)</f>
        <v>80</v>
      </c>
      <c r="H24" s="474">
        <v>60</v>
      </c>
      <c r="I24" s="121" t="str">
        <f>IF('Instructor Calculations'!T25&lt;0.002,"",'Instructor Calculations'!T25)</f>
        <v>D+/C-/C</v>
      </c>
      <c r="J24" s="25"/>
      <c r="K24" s="25"/>
      <c r="L24" s="24"/>
      <c r="M24" s="24"/>
      <c r="N24" s="24"/>
      <c r="O24" s="23"/>
      <c r="P24" s="23"/>
      <c r="Q24" s="1"/>
      <c r="R24" s="1"/>
      <c r="S24" s="1"/>
    </row>
    <row r="25" spans="1:19" x14ac:dyDescent="0.25">
      <c r="A25" s="93" t="str">
        <f>IF('Instructor Calculations'!A26="","",'Instructor Calculations'!A26)</f>
        <v>Lab 3/4 Report</v>
      </c>
      <c r="B25" s="480">
        <f>IF('Instructor Calculations'!B26="","",'Instructor Calculations'!B26)</f>
        <v>43804</v>
      </c>
      <c r="C25" s="95">
        <f>IF('Instructor Calculations'!C26="","",'Instructor Calculations'!C26)</f>
        <v>2.25</v>
      </c>
      <c r="D25" s="95">
        <f>IF('Instructor Calculations'!D26="","",'Instructor Calculations'!D26)</f>
        <v>0</v>
      </c>
      <c r="E25" s="95">
        <f>IF('Instructor Calculations'!E26="","",'Instructor Calculations'!E26)</f>
        <v>60</v>
      </c>
      <c r="F25" s="95">
        <f>IF('Instructor Calculations'!F26="","",'Instructor Calculations'!F26)</f>
        <v>72</v>
      </c>
      <c r="G25" s="120">
        <f>IF('Instructor Calculations'!M26&lt;0.002,"",'Instructor Calculations'!M26)</f>
        <v>90</v>
      </c>
      <c r="H25" s="474">
        <v>60</v>
      </c>
      <c r="I25" s="121" t="str">
        <f>IF('Instructor Calculations'!T26&lt;0.002,"",'Instructor Calculations'!T26)</f>
        <v>D+/C-/C</v>
      </c>
      <c r="J25" s="25"/>
      <c r="K25" s="25"/>
      <c r="L25" s="24"/>
      <c r="M25" s="24"/>
      <c r="N25" s="24"/>
      <c r="O25" s="23"/>
      <c r="P25" s="23"/>
      <c r="Q25" s="1"/>
      <c r="R25" s="1"/>
      <c r="S25" s="1"/>
    </row>
    <row r="26" spans="1:19" x14ac:dyDescent="0.25">
      <c r="A26" s="93" t="str">
        <f>IF('Instructor Calculations'!A27="","",'Instructor Calculations'!A27)</f>
        <v>Pre Final EMA Submit</v>
      </c>
      <c r="B26" s="480">
        <f>IF('Instructor Calculations'!B27="","",'Instructor Calculations'!B27)</f>
        <v>43809</v>
      </c>
      <c r="C26" s="95">
        <f>IF('Instructor Calculations'!C27="","",'Instructor Calculations'!C27)</f>
        <v>2</v>
      </c>
      <c r="D26" s="95">
        <f>IF('Instructor Calculations'!D27="","",'Instructor Calculations'!D27)</f>
        <v>0</v>
      </c>
      <c r="E26" s="95">
        <f>IF('Instructor Calculations'!E27="","",'Instructor Calculations'!E27)</f>
        <v>60</v>
      </c>
      <c r="F26" s="95">
        <f>IF('Instructor Calculations'!F27="","",'Instructor Calculations'!F27)</f>
        <v>69</v>
      </c>
      <c r="G26" s="120">
        <f>IF('Instructor Calculations'!M27&lt;0.002,"",'Instructor Calculations'!M27)</f>
        <v>90</v>
      </c>
      <c r="H26" s="474">
        <v>100</v>
      </c>
      <c r="I26" s="121" t="str">
        <f>IF('Instructor Calculations'!T27&lt;0.002,"",'Instructor Calculations'!T27)</f>
        <v>A+</v>
      </c>
      <c r="J26" s="25"/>
      <c r="K26" s="25"/>
      <c r="L26" s="24"/>
      <c r="M26" s="24"/>
      <c r="N26" s="24"/>
      <c r="O26" s="23"/>
      <c r="P26" s="23"/>
      <c r="Q26" s="1"/>
      <c r="R26" s="1"/>
      <c r="S26" s="1"/>
    </row>
    <row r="27" spans="1:19" x14ac:dyDescent="0.25">
      <c r="A27" s="93" t="str">
        <f>IF('Instructor Calculations'!A28="","",'Instructor Calculations'!A28)</f>
        <v>Final Exam</v>
      </c>
      <c r="B27" s="480">
        <f>IF('Instructor Calculations'!B28="","",'Instructor Calculations'!B28)</f>
        <v>43814</v>
      </c>
      <c r="C27" s="95">
        <f>IF('Instructor Calculations'!C28="","",'Instructor Calculations'!C28)</f>
        <v>42</v>
      </c>
      <c r="D27" s="95">
        <f>IF('Instructor Calculations'!D28="","",'Instructor Calculations'!D28)</f>
        <v>0</v>
      </c>
      <c r="E27" s="95">
        <f>IF('Instructor Calculations'!E28="","",'Instructor Calculations'!E28)</f>
        <v>70</v>
      </c>
      <c r="F27" s="95">
        <f>IF('Instructor Calculations'!F28="","",'Instructor Calculations'!F28)</f>
        <v>80.5</v>
      </c>
      <c r="G27" s="120">
        <f>IF('Instructor Calculations'!M28&lt;0.002,"",'Instructor Calculations'!M28)</f>
        <v>75</v>
      </c>
      <c r="H27" s="482">
        <v>81</v>
      </c>
      <c r="I27" s="121" t="str">
        <f>IF('Instructor Calculations'!T28&lt;0.002,"",'Instructor Calculations'!T28)</f>
        <v>B+/A-/A</v>
      </c>
      <c r="J27" s="25"/>
      <c r="K27" s="25"/>
      <c r="L27" s="24"/>
      <c r="M27" s="24"/>
      <c r="N27" s="24"/>
      <c r="O27" s="23"/>
      <c r="P27" s="23"/>
      <c r="Q27" s="1"/>
      <c r="R27" s="1"/>
      <c r="S27" s="1"/>
    </row>
    <row r="28" spans="1:19" x14ac:dyDescent="0.25">
      <c r="A28" s="93" t="str">
        <f>IF('Instructor Calculations'!A29="","",'Instructor Calculations'!A29)</f>
        <v>In Final Exam prediction</v>
      </c>
      <c r="B28" s="480">
        <f>IF('Instructor Calculations'!B29="","",'Instructor Calculations'!B29)</f>
        <v>43814</v>
      </c>
      <c r="C28" s="95">
        <f>IF('Instructor Calculations'!C29="","",'Instructor Calculations'!C29)</f>
        <v>0</v>
      </c>
      <c r="D28" s="95">
        <f>IF('Instructor Calculations'!D29="","",'Instructor Calculations'!D29)</f>
        <v>1</v>
      </c>
      <c r="E28" s="95">
        <f>IF('Instructor Calculations'!E29="","",'Instructor Calculations'!E29)</f>
        <v>1E-3</v>
      </c>
      <c r="F28" s="95">
        <f>IF('Instructor Calculations'!F29="","",'Instructor Calculations'!F29)</f>
        <v>1.15E-3</v>
      </c>
      <c r="G28" s="120">
        <f>IF('Instructor Calculations'!M29&lt;0.002,"",'Instructor Calculations'!M29)</f>
        <v>90</v>
      </c>
      <c r="H28" s="474">
        <v>70</v>
      </c>
      <c r="I28" s="96" t="str">
        <f>IF('Instructor Calculations'!Q29&lt;0.002,"",'Instructor Calculations'!Q29)</f>
        <v/>
      </c>
      <c r="J28" s="25"/>
      <c r="K28" s="25"/>
      <c r="L28" s="24"/>
      <c r="M28" s="24"/>
      <c r="N28" s="24"/>
      <c r="O28" s="23"/>
      <c r="P28" s="23"/>
      <c r="Q28" s="1"/>
      <c r="R28" s="1"/>
      <c r="S28" s="1"/>
    </row>
    <row r="29" spans="1:19" x14ac:dyDescent="0.25">
      <c r="A29" s="93" t="str">
        <f>IF('Instructor Calculations'!A30="","",'Instructor Calculations'!A30)</f>
        <v/>
      </c>
      <c r="B29" s="480" t="str">
        <f>IF('Instructor Calculations'!B30="","",'Instructor Calculations'!B30)</f>
        <v/>
      </c>
      <c r="C29" s="95" t="str">
        <f>IF('Instructor Calculations'!C30="","",'Instructor Calculations'!C30)</f>
        <v/>
      </c>
      <c r="D29" s="95" t="str">
        <f>IF('Instructor Calculations'!D30="","",'Instructor Calculations'!D30)</f>
        <v/>
      </c>
      <c r="E29" s="95" t="str">
        <f>IF('Instructor Calculations'!E30="","",'Instructor Calculations'!E30)</f>
        <v/>
      </c>
      <c r="F29" s="95" t="str">
        <f>IF('Instructor Calculations'!F30="","",'Instructor Calculations'!F30)</f>
        <v/>
      </c>
      <c r="G29" s="120" t="str">
        <f>IF('Instructor Calculations'!M30&lt;0.002,"",'Instructor Calculations'!M30)</f>
        <v/>
      </c>
      <c r="H29" s="474" t="str">
        <f>'Instructor Calculations'!Y30</f>
        <v/>
      </c>
      <c r="I29" s="121" t="str">
        <f>IF('Instructor Calculations'!T30&lt;0.002,"",'Instructor Calculations'!T30)</f>
        <v/>
      </c>
      <c r="J29" s="25"/>
      <c r="K29" s="25"/>
      <c r="L29" s="24"/>
      <c r="M29" s="24"/>
      <c r="N29" s="24"/>
      <c r="O29" s="23"/>
      <c r="P29" s="23"/>
      <c r="Q29" s="1"/>
      <c r="R29" s="1"/>
      <c r="S29" s="1"/>
    </row>
    <row r="30" spans="1:19" x14ac:dyDescent="0.25">
      <c r="A30" s="93" t="str">
        <f>IF('Instructor Calculations'!A31="","",'Instructor Calculations'!A31)</f>
        <v/>
      </c>
      <c r="B30" s="480" t="str">
        <f>IF('Instructor Calculations'!B31="","",'Instructor Calculations'!B31)</f>
        <v/>
      </c>
      <c r="C30" s="95" t="str">
        <f>IF('Instructor Calculations'!C31="","",'Instructor Calculations'!C31)</f>
        <v/>
      </c>
      <c r="D30" s="95" t="str">
        <f>IF('Instructor Calculations'!D31="","",'Instructor Calculations'!D31)</f>
        <v/>
      </c>
      <c r="E30" s="95" t="str">
        <f>IF('Instructor Calculations'!E31="","",'Instructor Calculations'!E31)</f>
        <v/>
      </c>
      <c r="F30" s="95" t="str">
        <f>IF('Instructor Calculations'!F31="","",'Instructor Calculations'!F31)</f>
        <v/>
      </c>
      <c r="G30" s="120" t="str">
        <f>IF('Instructor Calculations'!M31&lt;0.002,"",'Instructor Calculations'!M31)</f>
        <v/>
      </c>
      <c r="H30" s="474" t="str">
        <f>'Instructor Calculations'!Y31</f>
        <v/>
      </c>
      <c r="I30" s="121" t="str">
        <f>IF('Instructor Calculations'!T31&lt;0.002,"",'Instructor Calculations'!T31)</f>
        <v/>
      </c>
      <c r="J30" s="25"/>
      <c r="K30" s="25"/>
      <c r="L30" s="24"/>
      <c r="M30" s="24"/>
      <c r="N30" s="24"/>
      <c r="O30" s="23"/>
      <c r="P30" s="23"/>
      <c r="Q30" s="1"/>
      <c r="R30" s="1"/>
      <c r="S30" s="1"/>
    </row>
    <row r="31" spans="1:19" x14ac:dyDescent="0.25">
      <c r="A31" s="93" t="str">
        <f>IF('Instructor Calculations'!A32="","",'Instructor Calculations'!A32)</f>
        <v/>
      </c>
      <c r="B31" s="480" t="str">
        <f>IF('Instructor Calculations'!B32="","",'Instructor Calculations'!B32)</f>
        <v/>
      </c>
      <c r="C31" s="95" t="str">
        <f>IF('Instructor Calculations'!C32="","",'Instructor Calculations'!C32)</f>
        <v/>
      </c>
      <c r="D31" s="95" t="str">
        <f>IF('Instructor Calculations'!D32="","",'Instructor Calculations'!D32)</f>
        <v/>
      </c>
      <c r="E31" s="95" t="str">
        <f>IF('Instructor Calculations'!E32="","",'Instructor Calculations'!E32)</f>
        <v/>
      </c>
      <c r="F31" s="95" t="str">
        <f>IF('Instructor Calculations'!F32="","",'Instructor Calculations'!F32)</f>
        <v/>
      </c>
      <c r="G31" s="120" t="str">
        <f>IF('Instructor Calculations'!M32&lt;0.002,"",'Instructor Calculations'!M32)</f>
        <v/>
      </c>
      <c r="H31" s="474" t="str">
        <f>'Instructor Calculations'!Y32</f>
        <v/>
      </c>
      <c r="I31" s="121" t="str">
        <f>IF('Instructor Calculations'!T32&lt;0.002,"",'Instructor Calculations'!T32)</f>
        <v/>
      </c>
      <c r="J31" s="25"/>
      <c r="K31" s="25"/>
      <c r="L31" s="24"/>
      <c r="M31" s="24"/>
      <c r="N31" s="24"/>
      <c r="O31" s="23"/>
      <c r="P31" s="23"/>
      <c r="Q31" s="1"/>
      <c r="R31" s="1"/>
      <c r="S31" s="1"/>
    </row>
    <row r="32" spans="1:19" x14ac:dyDescent="0.25">
      <c r="A32" s="93" t="str">
        <f>IF('Instructor Calculations'!A33="","",'Instructor Calculations'!A33)</f>
        <v/>
      </c>
      <c r="B32" s="480" t="str">
        <f>IF('Instructor Calculations'!B33="","",'Instructor Calculations'!B33)</f>
        <v/>
      </c>
      <c r="C32" s="95" t="str">
        <f>IF('Instructor Calculations'!C33="","",'Instructor Calculations'!C33)</f>
        <v/>
      </c>
      <c r="D32" s="95" t="str">
        <f>IF('Instructor Calculations'!D33="","",'Instructor Calculations'!D33)</f>
        <v/>
      </c>
      <c r="E32" s="95" t="str">
        <f>IF('Instructor Calculations'!E33="","",'Instructor Calculations'!E33)</f>
        <v/>
      </c>
      <c r="F32" s="95" t="str">
        <f>IF('Instructor Calculations'!F33="","",'Instructor Calculations'!F33)</f>
        <v/>
      </c>
      <c r="G32" s="120" t="str">
        <f>IF('Instructor Calculations'!M33&lt;0.002,"",'Instructor Calculations'!M33)</f>
        <v/>
      </c>
      <c r="H32" s="474" t="str">
        <f>'Instructor Calculations'!Y33</f>
        <v/>
      </c>
      <c r="I32" s="121" t="str">
        <f>IF('Instructor Calculations'!T33&lt;0.002,"",'Instructor Calculations'!T33)</f>
        <v/>
      </c>
      <c r="J32" s="25"/>
      <c r="K32" s="25"/>
      <c r="L32" s="24"/>
      <c r="M32" s="24"/>
      <c r="N32" s="24"/>
      <c r="O32" s="23"/>
      <c r="P32" s="23"/>
      <c r="Q32" s="1"/>
      <c r="R32" s="1"/>
      <c r="S32" s="1"/>
    </row>
    <row r="33" spans="1:19" x14ac:dyDescent="0.25">
      <c r="A33" s="93" t="str">
        <f>IF('Instructor Calculations'!A34="","",'Instructor Calculations'!A34)</f>
        <v/>
      </c>
      <c r="B33" s="480" t="str">
        <f>IF('Instructor Calculations'!B34="","",'Instructor Calculations'!B34)</f>
        <v/>
      </c>
      <c r="C33" s="95" t="str">
        <f>IF('Instructor Calculations'!C34="","",'Instructor Calculations'!C34)</f>
        <v/>
      </c>
      <c r="D33" s="95" t="str">
        <f>IF('Instructor Calculations'!D34="","",'Instructor Calculations'!D34)</f>
        <v/>
      </c>
      <c r="E33" s="95" t="str">
        <f>IF('Instructor Calculations'!E34="","",'Instructor Calculations'!E34)</f>
        <v/>
      </c>
      <c r="F33" s="95" t="str">
        <f>IF('Instructor Calculations'!F34="","",'Instructor Calculations'!F34)</f>
        <v/>
      </c>
      <c r="G33" s="120" t="str">
        <f>IF('Instructor Calculations'!M34&lt;0.002,"",'Instructor Calculations'!M34)</f>
        <v/>
      </c>
      <c r="H33" s="474" t="str">
        <f>'Instructor Calculations'!Y34</f>
        <v/>
      </c>
      <c r="I33" s="121" t="str">
        <f>IF('Instructor Calculations'!T34&lt;0.002,"",'Instructor Calculations'!T34)</f>
        <v/>
      </c>
      <c r="J33" s="25"/>
      <c r="K33" s="25"/>
      <c r="L33" s="24"/>
      <c r="M33" s="24"/>
      <c r="N33" s="24"/>
      <c r="O33" s="23"/>
      <c r="P33" s="23"/>
      <c r="Q33" s="1"/>
      <c r="R33" s="1"/>
      <c r="S33" s="1"/>
    </row>
    <row r="34" spans="1:19" x14ac:dyDescent="0.25">
      <c r="A34" s="93" t="str">
        <f>IF('Instructor Calculations'!A35="","",'Instructor Calculations'!A35)</f>
        <v/>
      </c>
      <c r="B34" s="480" t="str">
        <f>IF('Instructor Calculations'!B35="","",'Instructor Calculations'!B35)</f>
        <v/>
      </c>
      <c r="C34" s="95" t="str">
        <f>IF('Instructor Calculations'!C35="","",'Instructor Calculations'!C35)</f>
        <v/>
      </c>
      <c r="D34" s="95" t="str">
        <f>IF('Instructor Calculations'!D35="","",'Instructor Calculations'!D35)</f>
        <v/>
      </c>
      <c r="E34" s="95" t="str">
        <f>IF('Instructor Calculations'!E35="","",'Instructor Calculations'!E35)</f>
        <v/>
      </c>
      <c r="F34" s="95" t="str">
        <f>IF('Instructor Calculations'!F35="","",'Instructor Calculations'!F35)</f>
        <v/>
      </c>
      <c r="G34" s="120" t="str">
        <f>IF('Instructor Calculations'!M35&lt;0.002,"",'Instructor Calculations'!M35)</f>
        <v/>
      </c>
      <c r="H34" s="474" t="str">
        <f>'Instructor Calculations'!Y35</f>
        <v/>
      </c>
      <c r="I34" s="121" t="str">
        <f>IF('Instructor Calculations'!T35&lt;0.002,"",'Instructor Calculations'!T35)</f>
        <v/>
      </c>
      <c r="J34" s="25"/>
      <c r="K34" s="25"/>
      <c r="L34" s="24"/>
      <c r="M34" s="24"/>
      <c r="N34" s="24"/>
      <c r="O34" s="23"/>
      <c r="P34" s="23"/>
      <c r="Q34" s="1"/>
      <c r="R34" s="1"/>
      <c r="S34" s="1"/>
    </row>
    <row r="35" spans="1:19" x14ac:dyDescent="0.25">
      <c r="A35" s="93" t="str">
        <f>IF('Instructor Calculations'!A36="","",'Instructor Calculations'!A36)</f>
        <v/>
      </c>
      <c r="B35" s="480" t="str">
        <f>IF('Instructor Calculations'!B36="","",'Instructor Calculations'!B36)</f>
        <v/>
      </c>
      <c r="C35" s="95" t="str">
        <f>IF('Instructor Calculations'!C36="","",'Instructor Calculations'!C36)</f>
        <v/>
      </c>
      <c r="D35" s="95" t="str">
        <f>IF('Instructor Calculations'!D36="","",'Instructor Calculations'!D36)</f>
        <v/>
      </c>
      <c r="E35" s="95" t="str">
        <f>IF('Instructor Calculations'!E36="","",'Instructor Calculations'!E36)</f>
        <v/>
      </c>
      <c r="F35" s="95" t="str">
        <f>IF('Instructor Calculations'!F36="","",'Instructor Calculations'!F36)</f>
        <v/>
      </c>
      <c r="G35" s="120" t="str">
        <f>IF('Instructor Calculations'!M36&lt;0.002,"",'Instructor Calculations'!M36)</f>
        <v/>
      </c>
      <c r="H35" s="474" t="str">
        <f>'Instructor Calculations'!Y36</f>
        <v/>
      </c>
      <c r="I35" s="121" t="str">
        <f>IF('Instructor Calculations'!T36&lt;0.002,"",'Instructor Calculations'!T36)</f>
        <v/>
      </c>
      <c r="J35" s="25"/>
      <c r="K35" s="25"/>
      <c r="L35" s="24"/>
      <c r="M35" s="24"/>
      <c r="N35" s="24"/>
      <c r="O35" s="23"/>
      <c r="P35" s="23"/>
      <c r="Q35" s="1"/>
      <c r="R35" s="1"/>
      <c r="S35" s="1"/>
    </row>
    <row r="36" spans="1:19" x14ac:dyDescent="0.25">
      <c r="A36" s="93" t="str">
        <f>IF('Instructor Calculations'!A37="","",'Instructor Calculations'!A37)</f>
        <v/>
      </c>
      <c r="B36" s="480" t="str">
        <f>IF('Instructor Calculations'!B37="","",'Instructor Calculations'!B37)</f>
        <v/>
      </c>
      <c r="C36" s="95" t="str">
        <f>IF('Instructor Calculations'!C37="","",'Instructor Calculations'!C37)</f>
        <v/>
      </c>
      <c r="D36" s="95" t="str">
        <f>IF('Instructor Calculations'!D37="","",'Instructor Calculations'!D37)</f>
        <v/>
      </c>
      <c r="E36" s="95" t="str">
        <f>IF('Instructor Calculations'!E37="","",'Instructor Calculations'!E37)</f>
        <v/>
      </c>
      <c r="F36" s="95" t="str">
        <f>IF('Instructor Calculations'!F37="","",'Instructor Calculations'!F37)</f>
        <v/>
      </c>
      <c r="G36" s="120" t="str">
        <f>IF('Instructor Calculations'!M37&lt;0.002,"",'Instructor Calculations'!M37)</f>
        <v/>
      </c>
      <c r="H36" s="474" t="str">
        <f>'Instructor Calculations'!Y37</f>
        <v/>
      </c>
      <c r="I36" s="121" t="str">
        <f>IF('Instructor Calculations'!T37&lt;0.002,"",'Instructor Calculations'!T37)</f>
        <v/>
      </c>
      <c r="J36" s="25"/>
      <c r="K36" s="25"/>
      <c r="L36" s="24"/>
      <c r="M36" s="24"/>
      <c r="N36" s="24"/>
      <c r="O36" s="23"/>
      <c r="P36" s="23"/>
      <c r="Q36" s="1"/>
      <c r="R36" s="1"/>
      <c r="S36" s="1"/>
    </row>
    <row r="37" spans="1:19" x14ac:dyDescent="0.25">
      <c r="A37" s="93" t="str">
        <f>IF('Instructor Calculations'!A38="","",'Instructor Calculations'!A38)</f>
        <v/>
      </c>
      <c r="B37" s="480" t="str">
        <f>IF('Instructor Calculations'!B38="","",'Instructor Calculations'!B38)</f>
        <v/>
      </c>
      <c r="C37" s="95" t="str">
        <f>IF('Instructor Calculations'!C38="","",'Instructor Calculations'!C38)</f>
        <v/>
      </c>
      <c r="D37" s="95" t="str">
        <f>IF('Instructor Calculations'!D38="","",'Instructor Calculations'!D38)</f>
        <v/>
      </c>
      <c r="E37" s="95" t="str">
        <f>IF('Instructor Calculations'!E38="","",'Instructor Calculations'!E38)</f>
        <v/>
      </c>
      <c r="F37" s="95" t="str">
        <f>IF('Instructor Calculations'!F38="","",'Instructor Calculations'!F38)</f>
        <v/>
      </c>
      <c r="G37" s="120" t="str">
        <f>IF('Instructor Calculations'!M38&lt;0.002,"",'Instructor Calculations'!M38)</f>
        <v/>
      </c>
      <c r="H37" s="474" t="str">
        <f>'Instructor Calculations'!Y38</f>
        <v/>
      </c>
      <c r="I37" s="121" t="str">
        <f>IF('Instructor Calculations'!T38&lt;0.002,"",'Instructor Calculations'!T38)</f>
        <v/>
      </c>
      <c r="J37" s="25"/>
      <c r="K37" s="25"/>
      <c r="L37" s="24"/>
      <c r="M37" s="24"/>
      <c r="N37" s="24"/>
      <c r="O37" s="23"/>
      <c r="P37" s="23"/>
      <c r="Q37" s="1"/>
      <c r="R37" s="1"/>
      <c r="S37" s="1"/>
    </row>
    <row r="38" spans="1:19" x14ac:dyDescent="0.25">
      <c r="A38" s="93" t="str">
        <f>IF('Instructor Calculations'!A39="","",'Instructor Calculations'!A39)</f>
        <v/>
      </c>
      <c r="B38" s="480" t="str">
        <f>IF('Instructor Calculations'!B39="","",'Instructor Calculations'!B39)</f>
        <v/>
      </c>
      <c r="C38" s="95" t="str">
        <f>IF('Instructor Calculations'!C39="","",'Instructor Calculations'!C39)</f>
        <v/>
      </c>
      <c r="D38" s="95" t="str">
        <f>IF('Instructor Calculations'!D39="","",'Instructor Calculations'!D39)</f>
        <v/>
      </c>
      <c r="E38" s="95" t="str">
        <f>IF('Instructor Calculations'!E39="","",'Instructor Calculations'!E39)</f>
        <v/>
      </c>
      <c r="F38" s="95" t="str">
        <f>IF('Instructor Calculations'!F39="","",'Instructor Calculations'!F39)</f>
        <v/>
      </c>
      <c r="G38" s="120" t="str">
        <f>IF('Instructor Calculations'!M39&lt;0.002,"",'Instructor Calculations'!M39)</f>
        <v/>
      </c>
      <c r="H38" s="474" t="str">
        <f>'Instructor Calculations'!Y39</f>
        <v/>
      </c>
      <c r="I38" s="121" t="str">
        <f>IF('Instructor Calculations'!T39&lt;0.002,"",'Instructor Calculations'!T39)</f>
        <v/>
      </c>
      <c r="J38" s="25"/>
      <c r="K38" s="25"/>
      <c r="L38" s="24"/>
      <c r="M38" s="24"/>
      <c r="N38" s="24"/>
      <c r="O38" s="23"/>
      <c r="P38" s="23"/>
      <c r="Q38" s="1"/>
      <c r="R38" s="1"/>
      <c r="S38" s="1"/>
    </row>
    <row r="39" spans="1:19" x14ac:dyDescent="0.25">
      <c r="A39" s="93" t="str">
        <f>IF('Instructor Calculations'!A40="","",'Instructor Calculations'!A40)</f>
        <v/>
      </c>
      <c r="B39" s="480" t="str">
        <f>IF('Instructor Calculations'!B40="","",'Instructor Calculations'!B40)</f>
        <v/>
      </c>
      <c r="C39" s="95" t="str">
        <f>IF('Instructor Calculations'!C40="","",'Instructor Calculations'!C40)</f>
        <v/>
      </c>
      <c r="D39" s="95" t="str">
        <f>IF('Instructor Calculations'!D40="","",'Instructor Calculations'!D40)</f>
        <v/>
      </c>
      <c r="E39" s="95" t="str">
        <f>IF('Instructor Calculations'!E40="","",'Instructor Calculations'!E40)</f>
        <v/>
      </c>
      <c r="F39" s="95" t="str">
        <f>IF('Instructor Calculations'!F40="","",'Instructor Calculations'!F40)</f>
        <v/>
      </c>
      <c r="G39" s="120" t="str">
        <f>IF('Instructor Calculations'!M40&lt;0.002,"",'Instructor Calculations'!M40)</f>
        <v/>
      </c>
      <c r="H39" s="474" t="str">
        <f>'Instructor Calculations'!Y40</f>
        <v/>
      </c>
      <c r="I39" s="121" t="str">
        <f>IF('Instructor Calculations'!T40&lt;0.002,"",'Instructor Calculations'!T40)</f>
        <v/>
      </c>
      <c r="J39" s="25"/>
      <c r="K39" s="25"/>
      <c r="L39" s="24"/>
      <c r="M39" s="24"/>
      <c r="N39" s="24"/>
      <c r="O39" s="23"/>
      <c r="P39" s="23"/>
      <c r="Q39" s="1"/>
      <c r="R39" s="1"/>
      <c r="S39" s="1"/>
    </row>
    <row r="40" spans="1:19" x14ac:dyDescent="0.25">
      <c r="A40" s="93" t="str">
        <f>IF('Instructor Calculations'!A41="","",'Instructor Calculations'!A41)</f>
        <v/>
      </c>
      <c r="B40" s="480" t="str">
        <f>IF('Instructor Calculations'!B41="","",'Instructor Calculations'!B41)</f>
        <v/>
      </c>
      <c r="C40" s="95" t="str">
        <f>IF('Instructor Calculations'!C41="","",'Instructor Calculations'!C41)</f>
        <v/>
      </c>
      <c r="D40" s="95" t="str">
        <f>IF('Instructor Calculations'!D41="","",'Instructor Calculations'!D41)</f>
        <v/>
      </c>
      <c r="E40" s="95" t="str">
        <f>IF('Instructor Calculations'!E41="","",'Instructor Calculations'!E41)</f>
        <v/>
      </c>
      <c r="F40" s="95" t="str">
        <f>IF('Instructor Calculations'!F41="","",'Instructor Calculations'!F41)</f>
        <v/>
      </c>
      <c r="G40" s="120" t="str">
        <f>IF('Instructor Calculations'!M41&lt;0.002,"",'Instructor Calculations'!M41)</f>
        <v/>
      </c>
      <c r="H40" s="474" t="str">
        <f>'Instructor Calculations'!Y41</f>
        <v/>
      </c>
      <c r="I40" s="121" t="str">
        <f>IF('Instructor Calculations'!T41&lt;0.002,"",'Instructor Calculations'!T41)</f>
        <v/>
      </c>
      <c r="J40" s="25"/>
      <c r="K40" s="25"/>
      <c r="L40" s="24"/>
      <c r="M40" s="24"/>
      <c r="N40" s="24"/>
      <c r="O40" s="23"/>
      <c r="P40" s="23"/>
      <c r="Q40" s="1"/>
      <c r="R40" s="1"/>
      <c r="S40" s="1"/>
    </row>
    <row r="41" spans="1:19" x14ac:dyDescent="0.25">
      <c r="A41" s="93" t="str">
        <f>IF('Instructor Calculations'!A42="","",'Instructor Calculations'!A42)</f>
        <v/>
      </c>
      <c r="B41" s="480" t="str">
        <f>IF('Instructor Calculations'!B42="","",'Instructor Calculations'!B42)</f>
        <v/>
      </c>
      <c r="C41" s="95" t="str">
        <f>IF('Instructor Calculations'!C42="","",'Instructor Calculations'!C42)</f>
        <v/>
      </c>
      <c r="D41" s="95" t="str">
        <f>IF('Instructor Calculations'!D42="","",'Instructor Calculations'!D42)</f>
        <v/>
      </c>
      <c r="E41" s="95" t="str">
        <f>IF('Instructor Calculations'!E42="","",'Instructor Calculations'!E42)</f>
        <v/>
      </c>
      <c r="F41" s="95" t="str">
        <f>IF('Instructor Calculations'!F42="","",'Instructor Calculations'!F42)</f>
        <v/>
      </c>
      <c r="G41" s="120" t="str">
        <f>IF('Instructor Calculations'!M42&lt;0.002,"",'Instructor Calculations'!M42)</f>
        <v/>
      </c>
      <c r="H41" s="474" t="str">
        <f>'Instructor Calculations'!Y42</f>
        <v/>
      </c>
      <c r="I41" s="121" t="str">
        <f>IF('Instructor Calculations'!T42&lt;0.002,"",'Instructor Calculations'!T42)</f>
        <v/>
      </c>
      <c r="J41" s="22"/>
      <c r="K41" s="22"/>
      <c r="L41" s="22"/>
      <c r="M41" s="22"/>
      <c r="N41" s="22"/>
      <c r="O41" s="22"/>
      <c r="P41" s="22"/>
    </row>
    <row r="42" spans="1:19" x14ac:dyDescent="0.25">
      <c r="A42" s="93" t="str">
        <f>IF('Instructor Calculations'!A43="","",'Instructor Calculations'!A43)</f>
        <v/>
      </c>
      <c r="B42" s="480" t="str">
        <f>IF('Instructor Calculations'!B43="","",'Instructor Calculations'!B43)</f>
        <v/>
      </c>
      <c r="C42" s="95" t="str">
        <f>IF('Instructor Calculations'!C43="","",'Instructor Calculations'!C43)</f>
        <v/>
      </c>
      <c r="D42" s="95" t="str">
        <f>IF('Instructor Calculations'!D43="","",'Instructor Calculations'!D43)</f>
        <v/>
      </c>
      <c r="E42" s="95" t="str">
        <f>IF('Instructor Calculations'!E43="","",'Instructor Calculations'!E43)</f>
        <v/>
      </c>
      <c r="F42" s="95" t="str">
        <f>IF('Instructor Calculations'!F43="","",'Instructor Calculations'!F43)</f>
        <v/>
      </c>
      <c r="G42" s="120" t="str">
        <f>IF('Instructor Calculations'!M43&lt;0.002,"",'Instructor Calculations'!M43)</f>
        <v/>
      </c>
      <c r="H42" s="474" t="str">
        <f>'Instructor Calculations'!Y43</f>
        <v/>
      </c>
      <c r="I42" s="121" t="str">
        <f>IF('Instructor Calculations'!T43&lt;0.002,"",'Instructor Calculations'!T43)</f>
        <v/>
      </c>
      <c r="J42" s="22"/>
      <c r="K42" s="22"/>
      <c r="L42" s="22"/>
      <c r="M42" s="22"/>
      <c r="N42" s="22"/>
      <c r="O42" s="22"/>
      <c r="P42" s="22"/>
    </row>
    <row r="43" spans="1:19" x14ac:dyDescent="0.25">
      <c r="A43" s="93" t="str">
        <f>IF('Instructor Calculations'!A44="","",'Instructor Calculations'!A44)</f>
        <v/>
      </c>
      <c r="B43" s="480" t="str">
        <f>IF('Instructor Calculations'!B44="","",'Instructor Calculations'!B44)</f>
        <v/>
      </c>
      <c r="C43" s="95" t="str">
        <f>IF('Instructor Calculations'!C44="","",'Instructor Calculations'!C44)</f>
        <v/>
      </c>
      <c r="D43" s="95" t="str">
        <f>IF('Instructor Calculations'!D44="","",'Instructor Calculations'!D44)</f>
        <v/>
      </c>
      <c r="E43" s="95" t="str">
        <f>IF('Instructor Calculations'!E44="","",'Instructor Calculations'!E44)</f>
        <v/>
      </c>
      <c r="F43" s="95" t="str">
        <f>IF('Instructor Calculations'!F44="","",'Instructor Calculations'!F44)</f>
        <v/>
      </c>
      <c r="G43" s="120" t="str">
        <f>IF('Instructor Calculations'!M44&lt;0.002,"",'Instructor Calculations'!M44)</f>
        <v/>
      </c>
      <c r="H43" s="474" t="str">
        <f>'Instructor Calculations'!Y44</f>
        <v/>
      </c>
      <c r="I43" s="121" t="str">
        <f>IF('Instructor Calculations'!T44&lt;0.002,"",'Instructor Calculations'!T44)</f>
        <v/>
      </c>
      <c r="J43" s="22"/>
      <c r="K43" s="22"/>
      <c r="L43" s="22"/>
      <c r="M43" s="22"/>
      <c r="N43" s="22"/>
      <c r="O43" s="22"/>
      <c r="P43" s="22"/>
    </row>
    <row r="44" spans="1:19" x14ac:dyDescent="0.25">
      <c r="A44" s="93" t="str">
        <f>IF('Instructor Calculations'!A45="","",'Instructor Calculations'!A45)</f>
        <v/>
      </c>
      <c r="B44" s="94" t="str">
        <f>IF('Instructor Calculations'!B45="","",'Instructor Calculations'!B45)</f>
        <v/>
      </c>
      <c r="C44" s="95" t="str">
        <f>IF('Instructor Calculations'!C45="","",'Instructor Calculations'!C45)</f>
        <v/>
      </c>
      <c r="D44" s="95" t="str">
        <f>IF('Instructor Calculations'!D45="","",'Instructor Calculations'!D45)</f>
        <v/>
      </c>
      <c r="E44" s="95" t="str">
        <f>IF('Instructor Calculations'!E45="","",'Instructor Calculations'!E45)</f>
        <v/>
      </c>
      <c r="F44" s="95" t="str">
        <f>IF('Instructor Calculations'!F45="","",'Instructor Calculations'!F45)</f>
        <v/>
      </c>
      <c r="G44" s="120" t="str">
        <f>IF('Instructor Calculations'!M45&lt;0.002,"",'Instructor Calculations'!M45)</f>
        <v/>
      </c>
      <c r="H44" s="474" t="str">
        <f>'Instructor Calculations'!Y45</f>
        <v/>
      </c>
      <c r="I44" s="121" t="str">
        <f>IF('Instructor Calculations'!T45&lt;0.002,"",'Instructor Calculations'!T45)</f>
        <v/>
      </c>
      <c r="J44" s="22"/>
      <c r="K44" s="22"/>
      <c r="L44" s="22"/>
      <c r="M44" s="22"/>
      <c r="N44" s="22"/>
      <c r="O44" s="22"/>
      <c r="P44" s="22"/>
    </row>
    <row r="45" spans="1:19" x14ac:dyDescent="0.25">
      <c r="A45" s="93" t="str">
        <f>IF('Instructor Calculations'!A46="","",'Instructor Calculations'!A46)</f>
        <v/>
      </c>
      <c r="B45" s="94" t="str">
        <f>IF('Instructor Calculations'!B46="","",'Instructor Calculations'!B46)</f>
        <v/>
      </c>
      <c r="C45" s="95" t="str">
        <f>IF('Instructor Calculations'!C46="","",'Instructor Calculations'!C46)</f>
        <v/>
      </c>
      <c r="D45" s="95" t="str">
        <f>IF('Instructor Calculations'!D46="","",'Instructor Calculations'!D46)</f>
        <v/>
      </c>
      <c r="E45" s="95" t="str">
        <f>IF('Instructor Calculations'!E46="","",'Instructor Calculations'!E46)</f>
        <v/>
      </c>
      <c r="F45" s="95" t="str">
        <f>IF('Instructor Calculations'!F46="","",'Instructor Calculations'!F46)</f>
        <v/>
      </c>
      <c r="G45" s="120" t="str">
        <f>IF('Instructor Calculations'!M46&lt;0.002,"",'Instructor Calculations'!M46)</f>
        <v/>
      </c>
      <c r="H45" s="474" t="str">
        <f>'Instructor Calculations'!Y46</f>
        <v/>
      </c>
      <c r="I45" s="121" t="str">
        <f>IF('Instructor Calculations'!T46&lt;0.002,"",'Instructor Calculations'!T46)</f>
        <v/>
      </c>
      <c r="J45" s="22"/>
      <c r="K45" s="22"/>
      <c r="L45" s="22"/>
      <c r="M45" s="22"/>
      <c r="N45" s="22"/>
      <c r="O45" s="22"/>
      <c r="P45" s="22"/>
    </row>
    <row r="46" spans="1:19" x14ac:dyDescent="0.25">
      <c r="A46" s="93" t="str">
        <f>IF('Instructor Calculations'!A47="","",'Instructor Calculations'!A47)</f>
        <v/>
      </c>
      <c r="B46" s="94" t="str">
        <f>IF('Instructor Calculations'!B47="","",'Instructor Calculations'!B47)</f>
        <v/>
      </c>
      <c r="C46" s="95" t="str">
        <f>IF('Instructor Calculations'!C47="","",'Instructor Calculations'!C47)</f>
        <v/>
      </c>
      <c r="D46" s="95" t="str">
        <f>IF('Instructor Calculations'!D47="","",'Instructor Calculations'!D47)</f>
        <v/>
      </c>
      <c r="E46" s="95" t="str">
        <f>IF('Instructor Calculations'!E47="","",'Instructor Calculations'!E47)</f>
        <v/>
      </c>
      <c r="F46" s="95" t="str">
        <f>IF('Instructor Calculations'!F47="","",'Instructor Calculations'!F47)</f>
        <v/>
      </c>
      <c r="G46" s="120" t="str">
        <f>IF('Instructor Calculations'!M47&lt;0.002,"",'Instructor Calculations'!M47)</f>
        <v/>
      </c>
      <c r="H46" s="474" t="str">
        <f>'Instructor Calculations'!Y47</f>
        <v/>
      </c>
      <c r="I46" s="121" t="str">
        <f>IF('Instructor Calculations'!T47&lt;0.002,"",'Instructor Calculations'!T47)</f>
        <v/>
      </c>
      <c r="J46" s="22"/>
      <c r="K46" s="22"/>
      <c r="L46" s="22"/>
      <c r="M46" s="22"/>
      <c r="N46" s="22"/>
      <c r="O46" s="22"/>
      <c r="P46" s="22"/>
    </row>
    <row r="47" spans="1:19" x14ac:dyDescent="0.25">
      <c r="A47" s="93" t="str">
        <f>IF('Instructor Calculations'!A48="","",'Instructor Calculations'!A48)</f>
        <v/>
      </c>
      <c r="B47" s="94" t="str">
        <f>IF('Instructor Calculations'!B48="","",'Instructor Calculations'!B48)</f>
        <v/>
      </c>
      <c r="C47" s="95" t="str">
        <f>IF('Instructor Calculations'!C48="","",'Instructor Calculations'!C48)</f>
        <v/>
      </c>
      <c r="D47" s="95" t="str">
        <f>IF('Instructor Calculations'!D48="","",'Instructor Calculations'!D48)</f>
        <v/>
      </c>
      <c r="E47" s="95" t="str">
        <f>IF('Instructor Calculations'!E48="","",'Instructor Calculations'!E48)</f>
        <v/>
      </c>
      <c r="F47" s="95" t="str">
        <f>IF('Instructor Calculations'!F48="","",'Instructor Calculations'!F48)</f>
        <v/>
      </c>
      <c r="G47" s="120" t="str">
        <f>IF('Instructor Calculations'!M48&lt;0.002,"",'Instructor Calculations'!M48)</f>
        <v/>
      </c>
      <c r="H47" s="474" t="str">
        <f>'Instructor Calculations'!Y48</f>
        <v/>
      </c>
      <c r="I47" s="121" t="str">
        <f>IF('Instructor Calculations'!T48&lt;0.002,"",'Instructor Calculations'!T48)</f>
        <v/>
      </c>
      <c r="J47" s="22"/>
      <c r="K47" s="22"/>
      <c r="L47" s="22"/>
      <c r="M47" s="22"/>
      <c r="N47" s="22"/>
      <c r="O47" s="22"/>
      <c r="P47" s="22"/>
    </row>
    <row r="48" spans="1:19" x14ac:dyDescent="0.25">
      <c r="A48" s="93" t="str">
        <f>IF('Instructor Calculations'!A49="","",'Instructor Calculations'!A49)</f>
        <v/>
      </c>
      <c r="B48" s="94" t="str">
        <f>IF('Instructor Calculations'!B49="","",'Instructor Calculations'!B49)</f>
        <v/>
      </c>
      <c r="C48" s="95" t="str">
        <f>IF('Instructor Calculations'!C49="","",'Instructor Calculations'!C49)</f>
        <v/>
      </c>
      <c r="D48" s="95" t="str">
        <f>IF('Instructor Calculations'!D49="","",'Instructor Calculations'!D49)</f>
        <v/>
      </c>
      <c r="E48" s="95" t="str">
        <f>IF('Instructor Calculations'!E49="","",'Instructor Calculations'!E49)</f>
        <v/>
      </c>
      <c r="F48" s="95" t="str">
        <f>IF('Instructor Calculations'!F49="","",'Instructor Calculations'!F49)</f>
        <v/>
      </c>
      <c r="G48" s="120" t="str">
        <f>IF('Instructor Calculations'!M49&lt;0.002,"",'Instructor Calculations'!M49)</f>
        <v/>
      </c>
      <c r="H48" s="474" t="str">
        <f>'Instructor Calculations'!Y49</f>
        <v/>
      </c>
      <c r="I48" s="121" t="str">
        <f>IF('Instructor Calculations'!T49&lt;0.002,"",'Instructor Calculations'!T49)</f>
        <v/>
      </c>
      <c r="J48" s="22"/>
      <c r="K48" s="22"/>
      <c r="L48" s="22"/>
      <c r="M48" s="22"/>
      <c r="N48" s="22"/>
      <c r="O48" s="22"/>
      <c r="P48" s="22"/>
    </row>
    <row r="49" spans="1:16" x14ac:dyDescent="0.25">
      <c r="A49" s="93" t="str">
        <f>IF('Instructor Calculations'!A50="","",'Instructor Calculations'!A50)</f>
        <v/>
      </c>
      <c r="B49" s="94" t="str">
        <f>IF('Instructor Calculations'!B50="","",'Instructor Calculations'!B50)</f>
        <v/>
      </c>
      <c r="C49" s="95" t="str">
        <f>IF('Instructor Calculations'!C50="","",'Instructor Calculations'!C50)</f>
        <v/>
      </c>
      <c r="D49" s="95" t="str">
        <f>IF('Instructor Calculations'!D50="","",'Instructor Calculations'!D50)</f>
        <v/>
      </c>
      <c r="E49" s="95" t="str">
        <f>IF('Instructor Calculations'!E50="","",'Instructor Calculations'!E50)</f>
        <v/>
      </c>
      <c r="F49" s="95" t="str">
        <f>IF('Instructor Calculations'!F50="","",'Instructor Calculations'!F50)</f>
        <v/>
      </c>
      <c r="G49" s="120" t="str">
        <f>IF('Instructor Calculations'!M50&lt;0.002,"",'Instructor Calculations'!M50)</f>
        <v/>
      </c>
      <c r="H49" s="474" t="str">
        <f>'Instructor Calculations'!Y50</f>
        <v/>
      </c>
      <c r="I49" s="121" t="str">
        <f>IF('Instructor Calculations'!T50&lt;0.002,"",'Instructor Calculations'!T50)</f>
        <v/>
      </c>
      <c r="J49" s="22"/>
      <c r="K49" s="22"/>
      <c r="L49" s="22"/>
      <c r="M49" s="22"/>
      <c r="N49" s="22"/>
      <c r="O49" s="22"/>
      <c r="P49" s="22"/>
    </row>
    <row r="50" spans="1:16" x14ac:dyDescent="0.25">
      <c r="A50" s="93" t="str">
        <f>IF('Instructor Calculations'!A51="","",'Instructor Calculations'!A51)</f>
        <v/>
      </c>
      <c r="B50" s="94" t="str">
        <f>IF('Instructor Calculations'!B51="","",'Instructor Calculations'!B51)</f>
        <v/>
      </c>
      <c r="C50" s="95" t="str">
        <f>IF('Instructor Calculations'!C51="","",'Instructor Calculations'!C51)</f>
        <v/>
      </c>
      <c r="D50" s="95" t="str">
        <f>IF('Instructor Calculations'!D51="","",'Instructor Calculations'!D51)</f>
        <v/>
      </c>
      <c r="E50" s="95" t="str">
        <f>IF('Instructor Calculations'!E51="","",'Instructor Calculations'!E51)</f>
        <v/>
      </c>
      <c r="F50" s="95" t="str">
        <f>IF('Instructor Calculations'!F51="","",'Instructor Calculations'!F51)</f>
        <v/>
      </c>
      <c r="G50" s="120" t="str">
        <f>IF('Instructor Calculations'!M51&lt;0.002,"",'Instructor Calculations'!M51)</f>
        <v/>
      </c>
      <c r="H50" s="474" t="str">
        <f>'Instructor Calculations'!Y51</f>
        <v/>
      </c>
      <c r="I50" s="121" t="str">
        <f>IF('Instructor Calculations'!T51&lt;0.002,"",'Instructor Calculations'!T51)</f>
        <v/>
      </c>
      <c r="J50" s="22"/>
      <c r="K50" s="22"/>
      <c r="L50" s="22"/>
      <c r="M50" s="22"/>
      <c r="N50" s="22"/>
      <c r="O50" s="22"/>
      <c r="P50" s="22"/>
    </row>
    <row r="51" spans="1:16" x14ac:dyDescent="0.25">
      <c r="A51" s="93" t="str">
        <f>IF('Instructor Calculations'!A52="","",'Instructor Calculations'!A52)</f>
        <v/>
      </c>
      <c r="B51" s="94" t="str">
        <f>IF('Instructor Calculations'!B52="","",'Instructor Calculations'!B52)</f>
        <v/>
      </c>
      <c r="C51" s="95" t="str">
        <f>IF('Instructor Calculations'!C52="","",'Instructor Calculations'!C52)</f>
        <v/>
      </c>
      <c r="D51" s="95" t="str">
        <f>IF('Instructor Calculations'!D52="","",'Instructor Calculations'!D52)</f>
        <v/>
      </c>
      <c r="E51" s="95" t="str">
        <f>IF('Instructor Calculations'!E52="","",'Instructor Calculations'!E52)</f>
        <v/>
      </c>
      <c r="F51" s="95" t="str">
        <f>IF('Instructor Calculations'!F52="","",'Instructor Calculations'!F52)</f>
        <v/>
      </c>
      <c r="G51" s="120" t="str">
        <f>IF('Instructor Calculations'!M52&lt;0.002,"",'Instructor Calculations'!M52)</f>
        <v/>
      </c>
      <c r="H51" s="474" t="str">
        <f>'Instructor Calculations'!Y52</f>
        <v/>
      </c>
      <c r="I51" s="121" t="str">
        <f>IF('Instructor Calculations'!T52&lt;0.002,"",'Instructor Calculations'!T52)</f>
        <v/>
      </c>
      <c r="J51" s="22"/>
      <c r="K51" s="22"/>
      <c r="L51" s="22"/>
      <c r="M51" s="22"/>
      <c r="N51" s="22"/>
      <c r="O51" s="22"/>
      <c r="P51" s="22"/>
    </row>
    <row r="52" spans="1:16" x14ac:dyDescent="0.25">
      <c r="A52" s="93" t="str">
        <f>IF('Instructor Calculations'!A53="","",'Instructor Calculations'!A53)</f>
        <v/>
      </c>
      <c r="B52" s="94" t="str">
        <f>IF('Instructor Calculations'!B53="","",'Instructor Calculations'!B53)</f>
        <v/>
      </c>
      <c r="C52" s="95" t="str">
        <f>IF('Instructor Calculations'!C53="","",'Instructor Calculations'!C53)</f>
        <v/>
      </c>
      <c r="D52" s="95" t="str">
        <f>IF('Instructor Calculations'!D53="","",'Instructor Calculations'!D53)</f>
        <v/>
      </c>
      <c r="E52" s="95" t="str">
        <f>IF('Instructor Calculations'!E53="","",'Instructor Calculations'!E53)</f>
        <v/>
      </c>
      <c r="F52" s="95" t="str">
        <f>IF('Instructor Calculations'!F53="","",'Instructor Calculations'!F53)</f>
        <v/>
      </c>
      <c r="G52" s="120" t="str">
        <f>IF('Instructor Calculations'!M53&lt;0.002,"",'Instructor Calculations'!M53)</f>
        <v/>
      </c>
      <c r="H52" s="474" t="str">
        <f>'Instructor Calculations'!Y53</f>
        <v/>
      </c>
      <c r="I52" s="121" t="str">
        <f>IF('Instructor Calculations'!T53&lt;0.002,"",'Instructor Calculations'!T53)</f>
        <v/>
      </c>
      <c r="J52" s="22"/>
      <c r="K52" s="22"/>
      <c r="L52" s="22"/>
      <c r="M52" s="22"/>
      <c r="N52" s="22"/>
      <c r="O52" s="22"/>
      <c r="P52" s="22"/>
    </row>
    <row r="53" spans="1:16" x14ac:dyDescent="0.25">
      <c r="A53" s="93" t="str">
        <f>IF('Instructor Calculations'!A54="","",'Instructor Calculations'!A54)</f>
        <v/>
      </c>
      <c r="B53" s="121" t="str">
        <f>IF('Instructor Calculations'!B54="","",'Instructor Calculations'!B54)</f>
        <v/>
      </c>
      <c r="C53" s="95" t="str">
        <f>IF('Instructor Calculations'!C54="","",'Instructor Calculations'!C54)</f>
        <v/>
      </c>
      <c r="D53" s="95" t="str">
        <f>IF('Instructor Calculations'!D54="","",'Instructor Calculations'!D54)</f>
        <v/>
      </c>
      <c r="E53" s="95" t="str">
        <f>IF('Instructor Calculations'!E54="","",'Instructor Calculations'!E54)</f>
        <v/>
      </c>
      <c r="F53" s="95" t="str">
        <f>IF('Instructor Calculations'!F54="","",'Instructor Calculations'!F54)</f>
        <v/>
      </c>
      <c r="G53" s="120" t="str">
        <f>IF('Instructor Calculations'!M54&lt;0.002,"",'Instructor Calculations'!M54)</f>
        <v/>
      </c>
      <c r="H53" s="474" t="str">
        <f>'Instructor Calculations'!Y54</f>
        <v/>
      </c>
      <c r="I53" s="121" t="str">
        <f>IF('Instructor Calculations'!T54&lt;0.002,"",'Instructor Calculations'!T54)</f>
        <v/>
      </c>
      <c r="J53" s="22"/>
      <c r="K53" s="22"/>
      <c r="L53" s="22"/>
      <c r="M53" s="22"/>
      <c r="N53" s="22"/>
      <c r="O53" s="22"/>
      <c r="P53" s="22"/>
    </row>
    <row r="54" spans="1:16" x14ac:dyDescent="0.25">
      <c r="A54" s="22"/>
      <c r="B54" s="43"/>
      <c r="C54" s="43"/>
      <c r="D54" s="43"/>
      <c r="E54" s="43"/>
      <c r="F54" s="43"/>
      <c r="G54" s="43"/>
      <c r="H54" s="43"/>
      <c r="I54" s="43"/>
      <c r="J54" s="22"/>
      <c r="K54" s="22"/>
      <c r="L54" s="22"/>
      <c r="M54" s="22"/>
      <c r="N54" s="22"/>
      <c r="O54" s="22"/>
      <c r="P54" s="22"/>
    </row>
    <row r="55" spans="1:16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</row>
    <row r="56" spans="1:1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</row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  <row r="90" spans="1:16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x14ac:dyDescent="0.2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x14ac:dyDescent="0.2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 x14ac:dyDescent="0.2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</row>
    <row r="101" spans="1:16" x14ac:dyDescent="0.2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</row>
    <row r="102" spans="1:16" x14ac:dyDescent="0.2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</row>
    <row r="103" spans="1:16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 x14ac:dyDescent="0.2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</row>
    <row r="105" spans="1:16" x14ac:dyDescent="0.2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</row>
    <row r="106" spans="1:16" x14ac:dyDescent="0.2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x14ac:dyDescent="0.2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x14ac:dyDescent="0.2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</row>
    <row r="109" spans="1:16" x14ac:dyDescent="0.2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</row>
    <row r="110" spans="1:16" x14ac:dyDescent="0.2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</row>
    <row r="111" spans="1:16" x14ac:dyDescent="0.2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</row>
    <row r="112" spans="1:16" x14ac:dyDescent="0.2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</row>
    <row r="113" spans="1:16" x14ac:dyDescent="0.2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x14ac:dyDescent="0.2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x14ac:dyDescent="0.2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</row>
    <row r="116" spans="1:16" x14ac:dyDescent="0.2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</row>
    <row r="117" spans="1:16" x14ac:dyDescent="0.2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</row>
    <row r="118" spans="1:16" x14ac:dyDescent="0.2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</row>
    <row r="119" spans="1:16" x14ac:dyDescent="0.2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</row>
    <row r="120" spans="1:16" x14ac:dyDescent="0.2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</row>
    <row r="121" spans="1:16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x14ac:dyDescent="0.2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x14ac:dyDescent="0.2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</row>
    <row r="124" spans="1:16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</row>
    <row r="125" spans="1:16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</row>
    <row r="126" spans="1:16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</row>
    <row r="127" spans="1:16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</row>
    <row r="128" spans="1:16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</row>
    <row r="129" spans="1:16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</row>
    <row r="132" spans="1:16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</row>
    <row r="133" spans="1:16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</row>
    <row r="134" spans="1:16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</row>
    <row r="135" spans="1:16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</row>
    <row r="136" spans="1:16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</row>
    <row r="139" spans="1:16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</row>
    <row r="140" spans="1:16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</row>
    <row r="141" spans="1:16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</row>
    <row r="142" spans="1:16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</row>
    <row r="143" spans="1:16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</row>
    <row r="144" spans="1:16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</row>
    <row r="145" spans="1:16" x14ac:dyDescent="0.2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x14ac:dyDescent="0.2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</row>
    <row r="148" spans="1:16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</row>
    <row r="149" spans="1:16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</row>
    <row r="150" spans="1:16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</row>
    <row r="151" spans="1:16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</row>
    <row r="154" spans="1:16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</row>
    <row r="155" spans="1:16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</row>
    <row r="156" spans="1:16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</row>
    <row r="157" spans="1:16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</row>
    <row r="158" spans="1:16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</row>
    <row r="159" spans="1:16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</row>
    <row r="160" spans="1:16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</row>
    <row r="161" spans="1:16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</row>
    <row r="164" spans="1:16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</row>
    <row r="165" spans="1:16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</row>
    <row r="166" spans="1:16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</row>
    <row r="169" spans="1:16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</row>
    <row r="170" spans="1:16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</row>
    <row r="171" spans="1:16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</row>
    <row r="172" spans="1:16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</row>
    <row r="173" spans="1:16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</row>
    <row r="174" spans="1:16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</row>
    <row r="175" spans="1:16" x14ac:dyDescent="0.2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</row>
    <row r="176" spans="1:16" x14ac:dyDescent="0.2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</row>
    <row r="177" spans="1:16" x14ac:dyDescent="0.2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2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</row>
    <row r="180" spans="1:16" x14ac:dyDescent="0.2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</row>
    <row r="181" spans="1:16" x14ac:dyDescent="0.2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</row>
    <row r="182" spans="1:16" x14ac:dyDescent="0.2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</row>
    <row r="183" spans="1:16" x14ac:dyDescent="0.2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</row>
    <row r="184" spans="1:16" x14ac:dyDescent="0.2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</row>
    <row r="185" spans="1:16" x14ac:dyDescent="0.2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</row>
    <row r="186" spans="1:16" x14ac:dyDescent="0.2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</row>
    <row r="187" spans="1:16" x14ac:dyDescent="0.2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</row>
    <row r="188" spans="1:16" x14ac:dyDescent="0.2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</row>
    <row r="189" spans="1:16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2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</row>
    <row r="191" spans="1:16" x14ac:dyDescent="0.2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</row>
    <row r="192" spans="1:16" x14ac:dyDescent="0.2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</row>
    <row r="193" spans="1:16" x14ac:dyDescent="0.2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</row>
    <row r="194" spans="1:16" x14ac:dyDescent="0.2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</row>
    <row r="195" spans="1:16" x14ac:dyDescent="0.2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</row>
    <row r="196" spans="1:16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2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2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2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2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25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  <row r="202" spans="1:16" x14ac:dyDescent="0.25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</row>
    <row r="203" spans="1:16" x14ac:dyDescent="0.25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</row>
    <row r="204" spans="1:16" x14ac:dyDescent="0.25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</row>
    <row r="205" spans="1:16" x14ac:dyDescent="0.25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</row>
    <row r="206" spans="1:16" x14ac:dyDescent="0.25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</row>
    <row r="207" spans="1:16" x14ac:dyDescent="0.25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</row>
    <row r="208" spans="1:16" x14ac:dyDescent="0.25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</row>
    <row r="209" spans="1:16" x14ac:dyDescent="0.25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</row>
    <row r="210" spans="1:16" x14ac:dyDescent="0.25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</row>
    <row r="211" spans="1:16" x14ac:dyDescent="0.25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</row>
    <row r="212" spans="1:16" x14ac:dyDescent="0.2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</row>
    <row r="213" spans="1:16" x14ac:dyDescent="0.25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</row>
    <row r="214" spans="1:16" x14ac:dyDescent="0.25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</row>
    <row r="215" spans="1:16" x14ac:dyDescent="0.25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</row>
    <row r="216" spans="1:16" x14ac:dyDescent="0.25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</row>
    <row r="217" spans="1:16" x14ac:dyDescent="0.25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</row>
    <row r="218" spans="1:16" x14ac:dyDescent="0.25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</row>
    <row r="219" spans="1:16" x14ac:dyDescent="0.25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</row>
    <row r="220" spans="1:16" x14ac:dyDescent="0.25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</row>
    <row r="221" spans="1:16" x14ac:dyDescent="0.25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</row>
    <row r="222" spans="1:16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</row>
    <row r="223" spans="1:16" x14ac:dyDescent="0.25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</row>
    <row r="224" spans="1:16" x14ac:dyDescent="0.25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</row>
    <row r="225" spans="1:16" x14ac:dyDescent="0.25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</row>
    <row r="226" spans="1:16" x14ac:dyDescent="0.25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</row>
    <row r="227" spans="1:16" x14ac:dyDescent="0.25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</row>
    <row r="228" spans="1:16" x14ac:dyDescent="0.25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</row>
    <row r="229" spans="1:16" x14ac:dyDescent="0.25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</row>
    <row r="230" spans="1:16" x14ac:dyDescent="0.25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</row>
    <row r="231" spans="1:16" x14ac:dyDescent="0.25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</row>
    <row r="232" spans="1:16" x14ac:dyDescent="0.25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</row>
    <row r="233" spans="1:16" x14ac:dyDescent="0.25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</row>
    <row r="234" spans="1:16" x14ac:dyDescent="0.25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</row>
    <row r="235" spans="1:16" x14ac:dyDescent="0.25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</row>
    <row r="236" spans="1:16" x14ac:dyDescent="0.25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</row>
    <row r="237" spans="1:16" x14ac:dyDescent="0.25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</row>
    <row r="238" spans="1:16" x14ac:dyDescent="0.25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</row>
    <row r="239" spans="1:16" x14ac:dyDescent="0.25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</row>
    <row r="240" spans="1:16" x14ac:dyDescent="0.25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</row>
    <row r="241" spans="1:16" x14ac:dyDescent="0.25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</row>
    <row r="242" spans="1:16" x14ac:dyDescent="0.25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</row>
    <row r="243" spans="1:16" x14ac:dyDescent="0.25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</row>
    <row r="244" spans="1:16" x14ac:dyDescent="0.2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</row>
    <row r="245" spans="1:16" x14ac:dyDescent="0.25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</row>
    <row r="246" spans="1:16" x14ac:dyDescent="0.25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</row>
    <row r="247" spans="1:16" x14ac:dyDescent="0.25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</row>
    <row r="248" spans="1:16" x14ac:dyDescent="0.25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</row>
    <row r="249" spans="1:16" x14ac:dyDescent="0.25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</row>
    <row r="250" spans="1:16" x14ac:dyDescent="0.25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</row>
    <row r="251" spans="1:16" x14ac:dyDescent="0.25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</row>
    <row r="252" spans="1:16" x14ac:dyDescent="0.25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</row>
    <row r="253" spans="1:16" x14ac:dyDescent="0.25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</row>
    <row r="254" spans="1:16" x14ac:dyDescent="0.25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</row>
    <row r="255" spans="1:16" x14ac:dyDescent="0.25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</row>
    <row r="256" spans="1:16" x14ac:dyDescent="0.25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</row>
    <row r="257" spans="1:16" x14ac:dyDescent="0.25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</row>
    <row r="258" spans="1:16" x14ac:dyDescent="0.25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</row>
    <row r="259" spans="1:16" x14ac:dyDescent="0.25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</row>
    <row r="260" spans="1:16" x14ac:dyDescent="0.25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</row>
    <row r="261" spans="1:16" x14ac:dyDescent="0.25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</row>
    <row r="262" spans="1:16" x14ac:dyDescent="0.25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</row>
    <row r="263" spans="1:16" x14ac:dyDescent="0.25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</row>
    <row r="264" spans="1:16" x14ac:dyDescent="0.25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</row>
    <row r="265" spans="1:16" x14ac:dyDescent="0.25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</row>
    <row r="266" spans="1:16" x14ac:dyDescent="0.25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</row>
    <row r="267" spans="1:16" x14ac:dyDescent="0.25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</row>
    <row r="268" spans="1:16" x14ac:dyDescent="0.25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</row>
    <row r="269" spans="1:16" x14ac:dyDescent="0.25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</row>
    <row r="270" spans="1:16" x14ac:dyDescent="0.25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</row>
    <row r="271" spans="1:16" x14ac:dyDescent="0.25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</row>
    <row r="272" spans="1:16" x14ac:dyDescent="0.25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</row>
    <row r="273" spans="1:16" x14ac:dyDescent="0.25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</row>
    <row r="274" spans="1:16" x14ac:dyDescent="0.25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</row>
    <row r="275" spans="1:16" x14ac:dyDescent="0.25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</row>
    <row r="276" spans="1:16" x14ac:dyDescent="0.2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</row>
    <row r="277" spans="1:16" x14ac:dyDescent="0.25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</row>
    <row r="278" spans="1:16" x14ac:dyDescent="0.25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</row>
  </sheetData>
  <mergeCells count="1">
    <mergeCell ref="J3:N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3" tint="0.79998168889431442"/>
  </sheetPr>
  <dimension ref="A1:X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6" sqref="H6"/>
    </sheetView>
  </sheetViews>
  <sheetFormatPr defaultColWidth="8.85546875" defaultRowHeight="15" x14ac:dyDescent="0.25"/>
  <cols>
    <col min="1" max="1" width="20.85546875" customWidth="1"/>
    <col min="2" max="2" width="10" bestFit="1" customWidth="1"/>
    <col min="3" max="3" width="7.140625" customWidth="1"/>
    <col min="4" max="4" width="4.85546875" customWidth="1"/>
    <col min="5" max="5" width="6.140625" customWidth="1"/>
    <col min="6" max="6" width="6" customWidth="1"/>
    <col min="7" max="7" width="6.28515625" customWidth="1"/>
    <col min="8" max="8" width="5.42578125" customWidth="1"/>
    <col min="9" max="9" width="5" customWidth="1"/>
    <col min="10" max="10" width="8" customWidth="1"/>
    <col min="16" max="16" width="16.140625" customWidth="1"/>
    <col min="17" max="17" width="3.42578125" customWidth="1"/>
  </cols>
  <sheetData>
    <row r="1" spans="1:24" ht="21" x14ac:dyDescent="0.35">
      <c r="A1" s="285" t="str">
        <f>'Instructor Course Information'!J1</f>
        <v>WDS:511</v>
      </c>
      <c r="B1" s="142" t="s">
        <v>170</v>
      </c>
      <c r="C1" s="144"/>
      <c r="D1" s="143"/>
      <c r="E1" s="145"/>
      <c r="F1" s="146"/>
      <c r="G1" s="146"/>
      <c r="H1" s="146"/>
      <c r="I1" s="146"/>
      <c r="J1" s="146"/>
      <c r="K1" s="147"/>
      <c r="L1" s="147"/>
      <c r="M1" s="147"/>
      <c r="N1" s="147"/>
      <c r="O1" s="148"/>
      <c r="P1" s="148"/>
      <c r="Q1" s="91"/>
      <c r="R1" s="91"/>
      <c r="S1" s="91"/>
      <c r="T1" s="92"/>
      <c r="U1" s="92"/>
    </row>
    <row r="2" spans="1:24" ht="21" x14ac:dyDescent="0.35">
      <c r="A2" s="149"/>
      <c r="B2" s="152" t="s">
        <v>171</v>
      </c>
      <c r="C2" s="150"/>
      <c r="D2" s="150"/>
      <c r="E2" s="151"/>
      <c r="F2" s="151"/>
      <c r="H2" s="153"/>
      <c r="I2" s="153"/>
      <c r="J2" s="153"/>
      <c r="K2" s="153"/>
      <c r="L2" s="153"/>
      <c r="M2" s="151"/>
      <c r="N2" s="151"/>
      <c r="O2" s="151"/>
      <c r="P2" s="151"/>
      <c r="Q2" s="127"/>
      <c r="R2" s="127"/>
      <c r="S2" s="91"/>
      <c r="T2" s="92"/>
      <c r="U2" s="92"/>
    </row>
    <row r="3" spans="1:24" ht="24" customHeight="1" thickBot="1" x14ac:dyDescent="0.5">
      <c r="A3" s="49"/>
      <c r="B3" s="267" t="s">
        <v>172</v>
      </c>
      <c r="C3" s="264"/>
      <c r="D3" s="264"/>
      <c r="E3" s="265"/>
      <c r="F3" s="265"/>
      <c r="G3" s="266"/>
      <c r="H3" s="265"/>
      <c r="I3" s="265"/>
      <c r="J3" s="265"/>
      <c r="K3" s="265"/>
      <c r="L3" s="265"/>
      <c r="M3" s="265"/>
      <c r="N3" s="128"/>
      <c r="O3" s="344" t="s">
        <v>173</v>
      </c>
      <c r="P3" s="345"/>
      <c r="Q3" s="346"/>
      <c r="R3" s="346"/>
      <c r="S3" s="347"/>
      <c r="T3" s="347"/>
      <c r="U3" s="347"/>
      <c r="V3" s="347"/>
      <c r="W3" s="347"/>
      <c r="X3" s="347"/>
    </row>
    <row r="4" spans="1:24" ht="16.5" thickTop="1" thickBot="1" x14ac:dyDescent="0.3">
      <c r="A4" s="21"/>
      <c r="B4" s="24"/>
      <c r="C4" s="24"/>
      <c r="D4" s="24"/>
      <c r="E4" s="2"/>
      <c r="F4" s="130" t="s">
        <v>113</v>
      </c>
      <c r="G4" s="111"/>
      <c r="H4" s="111"/>
      <c r="I4" s="111"/>
      <c r="J4" s="111"/>
      <c r="K4" s="129"/>
      <c r="L4" s="129"/>
      <c r="M4" s="117" t="s">
        <v>83</v>
      </c>
      <c r="N4" s="2"/>
      <c r="O4" s="8"/>
      <c r="P4" s="8"/>
      <c r="Q4" s="2"/>
      <c r="R4" s="2"/>
      <c r="S4" s="1"/>
    </row>
    <row r="5" spans="1:24" ht="62.25" customHeight="1" thickTop="1" thickBot="1" x14ac:dyDescent="0.3">
      <c r="A5" s="131" t="str">
        <f>'Instructor Calculations'!A4</f>
        <v>Course Components</v>
      </c>
      <c r="B5" s="124" t="str">
        <f>'Instructor Calculations'!B4</f>
        <v>Approximate Completion Date</v>
      </c>
      <c r="C5" s="124" t="str">
        <f>'Instructor Calculations'!C4</f>
        <v>Course Percentage</v>
      </c>
      <c r="D5" s="124" t="str">
        <f>'Instructor Calculations'!D4</f>
        <v>Bonus Percentage</v>
      </c>
      <c r="E5" s="124" t="str">
        <f>'Instructor Calculations'!E4</f>
        <v>2017 Rough class average</v>
      </c>
      <c r="F5" s="124" t="str">
        <f>'Instructor Calculations'!F4</f>
        <v>Predicted Mark</v>
      </c>
      <c r="G5" s="115" t="str">
        <f>'Instructor Calculations'!M4</f>
        <v>Planned mark</v>
      </c>
      <c r="H5" s="115" t="str">
        <f>'Instructor Calculations'!Q4</f>
        <v>Tracked Mark</v>
      </c>
      <c r="I5" s="132" t="str">
        <f>'Instructor Calculations'!U4</f>
        <v>Desired Mark</v>
      </c>
      <c r="J5" s="116" t="str">
        <f>'Instructor Calculations'!X4</f>
        <v>Desired GPA</v>
      </c>
      <c r="K5" s="512" t="s">
        <v>190</v>
      </c>
      <c r="L5" s="513"/>
      <c r="M5" s="513"/>
      <c r="N5" s="513"/>
      <c r="O5" s="513"/>
      <c r="P5" s="279">
        <f>'Instructor Calculations'!W55</f>
        <v>92.85090000000001</v>
      </c>
      <c r="Q5" s="270"/>
      <c r="R5" s="271" t="str">
        <f>'Instructor Calculations'!W56</f>
        <v>A+</v>
      </c>
      <c r="S5" s="272"/>
      <c r="T5" s="273"/>
    </row>
    <row r="6" spans="1:24" ht="15.75" thickTop="1" x14ac:dyDescent="0.25">
      <c r="A6" s="93" t="str">
        <f>IF('Instructor Calculations'!A5="","",'Instructor Calculations'!A5)</f>
        <v>PreLab 0 Report/Demo</v>
      </c>
      <c r="B6" s="481">
        <f>IF('Instructor Calculations'!B5="","",'Instructor Calculations'!B5)</f>
        <v>43728</v>
      </c>
      <c r="C6" s="95">
        <f>IF('Instructor Calculations'!C5="","",'Instructor Calculations'!C5)</f>
        <v>1.5</v>
      </c>
      <c r="D6" s="95">
        <f>IF('Instructor Calculations'!D5="","",'Instructor Calculations'!D5)</f>
        <v>0</v>
      </c>
      <c r="E6" s="95">
        <f>IF('Instructor Calculations'!E5="","",'Instructor Calculations'!E5)</f>
        <v>80</v>
      </c>
      <c r="F6" s="95">
        <f>IF('Instructor Calculations'!F5="","",'Instructor Calculations'!F5)</f>
        <v>96</v>
      </c>
      <c r="G6" s="95">
        <f>IF('Instructor Calculations'!M5&lt;0.002,"",'Instructor Calculations'!M5)</f>
        <v>100</v>
      </c>
      <c r="H6" s="134" t="str">
        <f>IF('Instructor Calculations'!Y5&lt;0.002,"",'Instructor Calculations'!Y5)</f>
        <v>????</v>
      </c>
      <c r="I6" s="154" t="str">
        <f>'Instructor Calculations'!Y5</f>
        <v>????</v>
      </c>
      <c r="J6" s="135" t="str">
        <f>IF('Instructor Calculations'!X5&lt;0.002,"",'Instructor Calculations'!X5)</f>
        <v>A+</v>
      </c>
      <c r="K6" s="8"/>
      <c r="L6" s="8"/>
      <c r="M6" s="2"/>
      <c r="N6" s="2"/>
      <c r="O6" s="8"/>
      <c r="P6" s="8"/>
      <c r="Q6" s="2"/>
      <c r="R6" s="2"/>
      <c r="S6" s="244"/>
    </row>
    <row r="7" spans="1:24" x14ac:dyDescent="0.25">
      <c r="A7" s="93" t="str">
        <f>IF('Instructor Calculations'!A6="","",'Instructor Calculations'!A6)</f>
        <v>Initial EMA Submit</v>
      </c>
      <c r="B7" s="481">
        <f>IF('Instructor Calculations'!B6="","",'Instructor Calculations'!B6)</f>
        <v>43740</v>
      </c>
      <c r="C7" s="95">
        <f>IF('Instructor Calculations'!C6="","",'Instructor Calculations'!C6)</f>
        <v>2</v>
      </c>
      <c r="D7" s="95">
        <f>IF('Instructor Calculations'!D6="","",'Instructor Calculations'!D6)</f>
        <v>0</v>
      </c>
      <c r="E7" s="95">
        <f>IF('Instructor Calculations'!E6="","",'Instructor Calculations'!E6)</f>
        <v>75</v>
      </c>
      <c r="F7" s="95">
        <f>IF('Instructor Calculations'!F6="","",'Instructor Calculations'!F6)</f>
        <v>86.25</v>
      </c>
      <c r="G7" s="95">
        <f>IF('Instructor Calculations'!M6&lt;0.002,"",'Instructor Calculations'!M6)</f>
        <v>100</v>
      </c>
      <c r="H7" s="134" t="str">
        <f>IF('Instructor Calculations'!Y6&lt;0.002,"",'Instructor Calculations'!Y6)</f>
        <v>????</v>
      </c>
      <c r="I7" s="154" t="str">
        <f>'Instructor Calculations'!Y6</f>
        <v>????</v>
      </c>
      <c r="J7" s="135" t="str">
        <f>IF('Instructor Calculations'!X6&lt;0.002,"",'Instructor Calculations'!X6)</f>
        <v>A+</v>
      </c>
      <c r="K7" s="8"/>
      <c r="R7" s="2"/>
      <c r="S7" s="1"/>
    </row>
    <row r="8" spans="1:24" x14ac:dyDescent="0.25">
      <c r="A8" s="93" t="str">
        <f>IF('Instructor Calculations'!A7="","",'Instructor Calculations'!A7)</f>
        <v>Lab 0 Demo</v>
      </c>
      <c r="B8" s="481">
        <f>IF('Instructor Calculations'!B7="","",'Instructor Calculations'!B7)</f>
        <v>43740</v>
      </c>
      <c r="C8" s="95">
        <f>IF('Instructor Calculations'!C7="","",'Instructor Calculations'!C7)</f>
        <v>1.6</v>
      </c>
      <c r="D8" s="95">
        <f>IF('Instructor Calculations'!D7="","",'Instructor Calculations'!D7)</f>
        <v>0</v>
      </c>
      <c r="E8" s="95">
        <f>IF('Instructor Calculations'!E7="","",'Instructor Calculations'!E7)</f>
        <v>80</v>
      </c>
      <c r="F8" s="95">
        <f>IF('Instructor Calculations'!F7="","",'Instructor Calculations'!F7)</f>
        <v>96</v>
      </c>
      <c r="G8" s="95">
        <f>IF('Instructor Calculations'!M7&lt;0.002,"",'Instructor Calculations'!M7)</f>
        <v>100</v>
      </c>
      <c r="H8" s="134" t="str">
        <f>IF('Instructor Calculations'!Y7&lt;0.002,"",'Instructor Calculations'!Y7)</f>
        <v>????</v>
      </c>
      <c r="I8" s="154" t="str">
        <f>'Instructor Calculations'!Y7</f>
        <v>????</v>
      </c>
      <c r="J8" s="135" t="str">
        <f>IF('Instructor Calculations'!X7&lt;0.002,"",'Instructor Calculations'!X7)</f>
        <v>A+</v>
      </c>
      <c r="K8" s="8"/>
      <c r="L8" s="8"/>
      <c r="M8" s="2"/>
      <c r="N8" s="2"/>
      <c r="O8" s="8"/>
      <c r="P8" s="8"/>
      <c r="Q8" s="2"/>
      <c r="R8" s="2"/>
      <c r="S8" s="1"/>
    </row>
    <row r="9" spans="1:24" x14ac:dyDescent="0.25">
      <c r="A9" s="93" t="str">
        <f>IF('Instructor Calculations'!A8="","",'Instructor Calculations'!A8)</f>
        <v>Quiz 1</v>
      </c>
      <c r="B9" s="481">
        <f>IF('Instructor Calculations'!B8="","",'Instructor Calculations'!B8)</f>
        <v>43752</v>
      </c>
      <c r="C9" s="95">
        <f>IF('Instructor Calculations'!C8="","",'Instructor Calculations'!C8)</f>
        <v>4</v>
      </c>
      <c r="D9" s="95">
        <f>IF('Instructor Calculations'!D8="","",'Instructor Calculations'!D8)</f>
        <v>0</v>
      </c>
      <c r="E9" s="95">
        <f>IF('Instructor Calculations'!E8="","",'Instructor Calculations'!E8)</f>
        <v>65</v>
      </c>
      <c r="F9" s="95">
        <f>IF('Instructor Calculations'!F8="","",'Instructor Calculations'!F8)</f>
        <v>71.5</v>
      </c>
      <c r="G9" s="95">
        <f>IF('Instructor Calculations'!M8&lt;0.002,"",'Instructor Calculations'!M8)</f>
        <v>75</v>
      </c>
      <c r="H9" s="134" t="str">
        <f>IF('Instructor Calculations'!Y8&lt;0.002,"",'Instructor Calculations'!Y8)</f>
        <v>????</v>
      </c>
      <c r="I9" s="154" t="str">
        <f>'Instructor Calculations'!Y8</f>
        <v>????</v>
      </c>
      <c r="J9" s="135" t="str">
        <f>IF('Instructor Calculations'!X8&lt;0.002,"",'Instructor Calculations'!X8)</f>
        <v>B+/A-/A</v>
      </c>
      <c r="K9" s="8"/>
      <c r="L9" s="8"/>
      <c r="M9" s="2"/>
      <c r="N9" s="2"/>
      <c r="O9" s="8"/>
      <c r="P9" s="8"/>
      <c r="Q9" s="2"/>
      <c r="R9" s="2"/>
      <c r="S9" s="1"/>
    </row>
    <row r="10" spans="1:24" x14ac:dyDescent="0.25">
      <c r="A10" s="93" t="str">
        <f>IF('Instructor Calculations'!A9="","",'Instructor Calculations'!A9)</f>
        <v>In Quiz 1 prediction</v>
      </c>
      <c r="B10" s="481">
        <f>IF('Instructor Calculations'!B9="","",'Instructor Calculations'!B9)</f>
        <v>43752</v>
      </c>
      <c r="C10" s="95">
        <f>IF('Instructor Calculations'!C9="","",'Instructor Calculations'!C9)</f>
        <v>0</v>
      </c>
      <c r="D10" s="95">
        <f>IF('Instructor Calculations'!D9="","",'Instructor Calculations'!D9)</f>
        <v>0.5</v>
      </c>
      <c r="E10" s="95">
        <f>IF('Instructor Calculations'!E9="","",'Instructor Calculations'!E9)</f>
        <v>1E-3</v>
      </c>
      <c r="F10" s="95">
        <f>IF('Instructor Calculations'!F9="","",'Instructor Calculations'!F9)</f>
        <v>1.15E-3</v>
      </c>
      <c r="G10" s="95">
        <f>IF('Instructor Calculations'!M9&lt;0.002,"",'Instructor Calculations'!M9)</f>
        <v>80</v>
      </c>
      <c r="H10" s="134" t="str">
        <f>IF('Instructor Calculations'!Y9&lt;0.002,"",'Instructor Calculations'!Y9)</f>
        <v>????</v>
      </c>
      <c r="I10" s="154" t="str">
        <f>'Instructor Calculations'!Y9</f>
        <v>????</v>
      </c>
      <c r="J10" s="135" t="str">
        <f>IF('Instructor Calculations'!X9&lt;0.002,"",'Instructor Calculations'!X9)</f>
        <v>A+</v>
      </c>
      <c r="K10" s="8"/>
      <c r="L10" s="8"/>
      <c r="M10" s="2"/>
      <c r="N10" s="2"/>
      <c r="O10" s="8"/>
      <c r="P10" s="8"/>
      <c r="Q10" s="2"/>
      <c r="R10" s="2"/>
      <c r="S10" s="1"/>
    </row>
    <row r="11" spans="1:24" x14ac:dyDescent="0.25">
      <c r="A11" s="93" t="str">
        <f>IF('Instructor Calculations'!A10="","",'Instructor Calculations'!A10)</f>
        <v>Post Quiz 1 EMA Submit</v>
      </c>
      <c r="B11" s="481">
        <f>IF('Instructor Calculations'!B10="","",'Instructor Calculations'!B10)</f>
        <v>43753</v>
      </c>
      <c r="C11" s="95">
        <f>IF('Instructor Calculations'!C10="","",'Instructor Calculations'!C10)</f>
        <v>0</v>
      </c>
      <c r="D11" s="95">
        <f>IF('Instructor Calculations'!D10="","",'Instructor Calculations'!D10)</f>
        <v>0.5</v>
      </c>
      <c r="E11" s="95">
        <f>IF('Instructor Calculations'!E10="","",'Instructor Calculations'!E10)</f>
        <v>1E-3</v>
      </c>
      <c r="F11" s="95">
        <f>IF('Instructor Calculations'!F10="","",'Instructor Calculations'!F10)</f>
        <v>1.15E-3</v>
      </c>
      <c r="G11" s="95">
        <f>IF('Instructor Calculations'!M10&lt;0.002,"",'Instructor Calculations'!M10)</f>
        <v>80</v>
      </c>
      <c r="H11" s="134" t="str">
        <f>IF('Instructor Calculations'!Y10&lt;0.002,"",'Instructor Calculations'!Y10)</f>
        <v>????</v>
      </c>
      <c r="I11" s="154" t="str">
        <f>'Instructor Calculations'!Y10</f>
        <v>????</v>
      </c>
      <c r="J11" s="135" t="str">
        <f>IF('Instructor Calculations'!X10&lt;0.002,"",'Instructor Calculations'!X10)</f>
        <v>A+</v>
      </c>
      <c r="K11" s="8"/>
      <c r="L11" s="8"/>
      <c r="M11" s="2"/>
      <c r="N11" s="2"/>
      <c r="O11" s="8"/>
      <c r="P11" s="8"/>
      <c r="Q11" s="2"/>
      <c r="R11" s="2"/>
      <c r="S11" s="1"/>
    </row>
    <row r="12" spans="1:24" x14ac:dyDescent="0.25">
      <c r="A12" s="93" t="str">
        <f>IF('Instructor Calculations'!A11="","",'Instructor Calculations'!A11)</f>
        <v>Lab 1 Demo</v>
      </c>
      <c r="B12" s="481">
        <f>IF('Instructor Calculations'!B11="","",'Instructor Calculations'!B11)</f>
        <v>43754</v>
      </c>
      <c r="C12" s="95">
        <f>IF('Instructor Calculations'!C11="","",'Instructor Calculations'!C11)</f>
        <v>4</v>
      </c>
      <c r="D12" s="95">
        <f>IF('Instructor Calculations'!D11="","",'Instructor Calculations'!D11)</f>
        <v>0</v>
      </c>
      <c r="E12" s="95">
        <f>IF('Instructor Calculations'!E11="","",'Instructor Calculations'!E11)</f>
        <v>80</v>
      </c>
      <c r="F12" s="95">
        <f>IF('Instructor Calculations'!F11="","",'Instructor Calculations'!F11)</f>
        <v>96</v>
      </c>
      <c r="G12" s="95">
        <f>IF('Instructor Calculations'!M11&lt;0.002,"",'Instructor Calculations'!M11)</f>
        <v>100</v>
      </c>
      <c r="H12" s="134" t="str">
        <f>IF('Instructor Calculations'!Y11&lt;0.002,"",'Instructor Calculations'!Y11)</f>
        <v>????</v>
      </c>
      <c r="I12" s="154" t="str">
        <f>'Instructor Calculations'!Y11</f>
        <v>????</v>
      </c>
      <c r="J12" s="135" t="str">
        <f>IF('Instructor Calculations'!X11&lt;0.002,"",'Instructor Calculations'!X11)</f>
        <v>A+</v>
      </c>
      <c r="K12" s="8"/>
      <c r="L12" s="8"/>
      <c r="M12" s="2"/>
      <c r="N12" s="2"/>
      <c r="O12" s="8"/>
      <c r="P12" s="8"/>
      <c r="Q12" s="2"/>
      <c r="R12" s="2"/>
      <c r="S12" s="1"/>
    </row>
    <row r="13" spans="1:24" x14ac:dyDescent="0.25">
      <c r="A13" s="93" t="str">
        <f>IF('Instructor Calculations'!A12="","",'Instructor Calculations'!A12)</f>
        <v>Assignment 1</v>
      </c>
      <c r="B13" s="481">
        <f>IF('Instructor Calculations'!B12="","",'Instructor Calculations'!B12)</f>
        <v>43758</v>
      </c>
      <c r="C13" s="95">
        <f>IF('Instructor Calculations'!C12="","",'Instructor Calculations'!C12)</f>
        <v>3</v>
      </c>
      <c r="D13" s="95">
        <f>IF('Instructor Calculations'!D12="","",'Instructor Calculations'!D12)</f>
        <v>0</v>
      </c>
      <c r="E13" s="95">
        <f>IF('Instructor Calculations'!E12="","",'Instructor Calculations'!E12)</f>
        <v>80</v>
      </c>
      <c r="F13" s="95">
        <f>IF('Instructor Calculations'!F12="","",'Instructor Calculations'!F12)</f>
        <v>92</v>
      </c>
      <c r="G13" s="95">
        <f>IF('Instructor Calculations'!M12&lt;0.002,"",'Instructor Calculations'!M12)</f>
        <v>90</v>
      </c>
      <c r="H13" s="134" t="str">
        <f>IF('Instructor Calculations'!Y12&lt;0.002,"",'Instructor Calculations'!Y12)</f>
        <v>????</v>
      </c>
      <c r="I13" s="154" t="str">
        <f>'Instructor Calculations'!Y12</f>
        <v>????</v>
      </c>
      <c r="J13" s="135" t="str">
        <f>IF('Instructor Calculations'!X12&lt;0.002,"",'Instructor Calculations'!X12)</f>
        <v>A+</v>
      </c>
      <c r="K13" s="8"/>
      <c r="L13" s="8"/>
      <c r="M13" s="2"/>
      <c r="N13" s="2"/>
      <c r="O13" s="8"/>
      <c r="P13" s="8"/>
      <c r="Q13" s="2"/>
      <c r="R13" s="2"/>
      <c r="S13" s="1"/>
    </row>
    <row r="14" spans="1:24" x14ac:dyDescent="0.25">
      <c r="A14" s="93" t="str">
        <f>IF('Instructor Calculations'!A13="","",'Instructor Calculations'!A13)</f>
        <v>Assign 1 Early Bonus</v>
      </c>
      <c r="B14" s="481">
        <f>IF('Instructor Calculations'!B13="","",'Instructor Calculations'!B13)</f>
        <v>43758</v>
      </c>
      <c r="C14" s="95">
        <f>IF('Instructor Calculations'!C13="","",'Instructor Calculations'!C13)</f>
        <v>0</v>
      </c>
      <c r="D14" s="95">
        <f>IF('Instructor Calculations'!D13="","",'Instructor Calculations'!D13)</f>
        <v>0.5</v>
      </c>
      <c r="E14" s="95">
        <f>IF('Instructor Calculations'!E13="","",'Instructor Calculations'!E13)</f>
        <v>1E-3</v>
      </c>
      <c r="F14" s="95">
        <f>IF('Instructor Calculations'!F13="","",'Instructor Calculations'!F13)</f>
        <v>1.15E-3</v>
      </c>
      <c r="G14" s="95">
        <f>IF('Instructor Calculations'!M13&lt;0.002,"",'Instructor Calculations'!M13)</f>
        <v>100</v>
      </c>
      <c r="H14" s="134" t="str">
        <f>IF('Instructor Calculations'!Y13&lt;0.002,"",'Instructor Calculations'!Y13)</f>
        <v>????</v>
      </c>
      <c r="I14" s="154" t="str">
        <f>'Instructor Calculations'!Y13</f>
        <v>????</v>
      </c>
      <c r="J14" s="135" t="str">
        <f>IF('Instructor Calculations'!X13&lt;0.002,"",'Instructor Calculations'!X13)</f>
        <v/>
      </c>
      <c r="K14" s="8"/>
      <c r="L14" s="8"/>
      <c r="M14" s="2"/>
      <c r="N14" s="2"/>
      <c r="O14" s="8"/>
      <c r="P14" s="8"/>
      <c r="Q14" s="2"/>
      <c r="R14" s="2"/>
      <c r="S14" s="1"/>
    </row>
    <row r="15" spans="1:24" x14ac:dyDescent="0.25">
      <c r="A15" s="93" t="str">
        <f>IF('Instructor Calculations'!A14="","",'Instructor Calculations'!A14)</f>
        <v>Assignment 2</v>
      </c>
      <c r="B15" s="481">
        <f>IF('Instructor Calculations'!B14="","",'Instructor Calculations'!B14)</f>
        <v>43767</v>
      </c>
      <c r="C15" s="95">
        <f>IF('Instructor Calculations'!C14="","",'Instructor Calculations'!C14)</f>
        <v>4</v>
      </c>
      <c r="D15" s="95">
        <f>IF('Instructor Calculations'!D14="","",'Instructor Calculations'!D14)</f>
        <v>0</v>
      </c>
      <c r="E15" s="95">
        <f>IF('Instructor Calculations'!E14="","",'Instructor Calculations'!E14)</f>
        <v>75</v>
      </c>
      <c r="F15" s="95">
        <f>IF('Instructor Calculations'!F14="","",'Instructor Calculations'!F14)</f>
        <v>86.25</v>
      </c>
      <c r="G15" s="95">
        <f>IF('Instructor Calculations'!M14&lt;0.002,"",'Instructor Calculations'!M14)</f>
        <v>90</v>
      </c>
      <c r="H15" s="134" t="str">
        <f>IF('Instructor Calculations'!Y14&lt;0.002,"",'Instructor Calculations'!Y14)</f>
        <v>????</v>
      </c>
      <c r="I15" s="154" t="str">
        <f>'Instructor Calculations'!Y14</f>
        <v>????</v>
      </c>
      <c r="J15" s="135" t="str">
        <f>IF('Instructor Calculations'!X14&lt;0.002,"",'Instructor Calculations'!X14)</f>
        <v>A+</v>
      </c>
      <c r="K15" s="8"/>
      <c r="L15" s="8"/>
      <c r="M15" s="2"/>
      <c r="N15" s="2"/>
      <c r="O15" s="8"/>
      <c r="P15" s="8"/>
      <c r="Q15" s="2"/>
      <c r="R15" s="2"/>
      <c r="S15" s="1"/>
    </row>
    <row r="16" spans="1:24" x14ac:dyDescent="0.25">
      <c r="A16" s="93" t="str">
        <f>IF('Instructor Calculations'!A15="","",'Instructor Calculations'!A15)</f>
        <v>Lab 2 Demo</v>
      </c>
      <c r="B16" s="481">
        <f>IF('Instructor Calculations'!B15="","",'Instructor Calculations'!B15)</f>
        <v>43768</v>
      </c>
      <c r="C16" s="95">
        <f>IF('Instructor Calculations'!C15="","",'Instructor Calculations'!C15)</f>
        <v>4</v>
      </c>
      <c r="D16" s="95">
        <f>IF('Instructor Calculations'!D15="","",'Instructor Calculations'!D15)</f>
        <v>0</v>
      </c>
      <c r="E16" s="95">
        <f>IF('Instructor Calculations'!E15="","",'Instructor Calculations'!E15)</f>
        <v>80</v>
      </c>
      <c r="F16" s="95">
        <f>IF('Instructor Calculations'!F15="","",'Instructor Calculations'!F15)</f>
        <v>96</v>
      </c>
      <c r="G16" s="95">
        <f>IF('Instructor Calculations'!M15&lt;0.002,"",'Instructor Calculations'!M15)</f>
        <v>100</v>
      </c>
      <c r="H16" s="134" t="str">
        <f>IF('Instructor Calculations'!Y15&lt;0.002,"",'Instructor Calculations'!Y15)</f>
        <v>????</v>
      </c>
      <c r="I16" s="154" t="str">
        <f>'Instructor Calculations'!Y15</f>
        <v>????</v>
      </c>
      <c r="J16" s="135" t="str">
        <f>IF('Instructor Calculations'!X15&lt;0.002,"",'Instructor Calculations'!X15)</f>
        <v>A+</v>
      </c>
      <c r="K16" s="8"/>
      <c r="L16" s="8"/>
      <c r="M16" s="2"/>
      <c r="N16" s="2"/>
      <c r="O16" s="8"/>
      <c r="P16" s="8"/>
      <c r="Q16" s="2"/>
      <c r="R16" s="2"/>
      <c r="S16" s="1"/>
    </row>
    <row r="17" spans="1:19" x14ac:dyDescent="0.25">
      <c r="A17" s="93" t="str">
        <f>IF('Instructor Calculations'!A16="","",'Instructor Calculations'!A16)</f>
        <v>Lab  2 Report</v>
      </c>
      <c r="B17" s="481">
        <f>IF('Instructor Calculations'!B16="","",'Instructor Calculations'!B16)</f>
        <v>43768</v>
      </c>
      <c r="C17" s="95">
        <f>IF('Instructor Calculations'!C16="","",'Instructor Calculations'!C16)</f>
        <v>2.25</v>
      </c>
      <c r="D17" s="95">
        <f>IF('Instructor Calculations'!D16="","",'Instructor Calculations'!D16)</f>
        <v>0</v>
      </c>
      <c r="E17" s="95">
        <f>IF('Instructor Calculations'!E16="","",'Instructor Calculations'!E16)</f>
        <v>80</v>
      </c>
      <c r="F17" s="95">
        <f>IF('Instructor Calculations'!F16="","",'Instructor Calculations'!F16)</f>
        <v>96</v>
      </c>
      <c r="G17" s="95">
        <f>IF('Instructor Calculations'!M16&lt;0.002,"",'Instructor Calculations'!M16)</f>
        <v>90</v>
      </c>
      <c r="H17" s="134" t="str">
        <f>IF('Instructor Calculations'!Y16&lt;0.002,"",'Instructor Calculations'!Y16)</f>
        <v>????</v>
      </c>
      <c r="I17" s="154" t="str">
        <f>'Instructor Calculations'!Y16</f>
        <v>????</v>
      </c>
      <c r="J17" s="135" t="str">
        <f>IF('Instructor Calculations'!X16&lt;0.002,"",'Instructor Calculations'!X16)</f>
        <v>A+</v>
      </c>
      <c r="K17" s="8"/>
      <c r="L17" s="8"/>
      <c r="M17" s="2"/>
      <c r="N17" s="2"/>
      <c r="O17" s="8"/>
      <c r="P17" s="8"/>
      <c r="Q17" s="2"/>
      <c r="R17" s="2"/>
      <c r="S17" s="1"/>
    </row>
    <row r="18" spans="1:19" x14ac:dyDescent="0.25">
      <c r="A18" s="93" t="str">
        <f>IF('Instructor Calculations'!A17="","",'Instructor Calculations'!A17)</f>
        <v>Assign 2 Early Bonus</v>
      </c>
      <c r="B18" s="481">
        <f>IF('Instructor Calculations'!B17="","",'Instructor Calculations'!B17)</f>
        <v>43768</v>
      </c>
      <c r="C18" s="95">
        <f>IF('Instructor Calculations'!C17="","",'Instructor Calculations'!C17)</f>
        <v>0</v>
      </c>
      <c r="D18" s="95">
        <f>IF('Instructor Calculations'!D17="","",'Instructor Calculations'!D17)</f>
        <v>0.5</v>
      </c>
      <c r="E18" s="95">
        <f>IF('Instructor Calculations'!E17="","",'Instructor Calculations'!E17)</f>
        <v>1E-3</v>
      </c>
      <c r="F18" s="95">
        <f>IF('Instructor Calculations'!F17="","",'Instructor Calculations'!F17)</f>
        <v>1.15E-3</v>
      </c>
      <c r="G18" s="95">
        <f>IF('Instructor Calculations'!M17&lt;0.002,"",'Instructor Calculations'!M17)</f>
        <v>80</v>
      </c>
      <c r="H18" s="134" t="str">
        <f>IF('Instructor Calculations'!Y17&lt;0.002,"",'Instructor Calculations'!Y17)</f>
        <v>????</v>
      </c>
      <c r="I18" s="154" t="str">
        <f>'Instructor Calculations'!Y17</f>
        <v>????</v>
      </c>
      <c r="J18" s="135" t="str">
        <f>IF('Instructor Calculations'!X17&lt;0.002,"",'Instructor Calculations'!X17)</f>
        <v/>
      </c>
      <c r="K18" s="8"/>
      <c r="L18" s="8"/>
      <c r="M18" s="2"/>
      <c r="N18" s="2"/>
      <c r="O18" s="8"/>
      <c r="P18" s="8"/>
      <c r="Q18" s="2"/>
      <c r="R18" s="2"/>
      <c r="S18" s="1"/>
    </row>
    <row r="19" spans="1:19" x14ac:dyDescent="0.25">
      <c r="A19" s="93" t="str">
        <f>IF('Instructor Calculations'!A18="","",'Instructor Calculations'!A18)</f>
        <v>Midterm</v>
      </c>
      <c r="B19" s="481">
        <f>IF('Instructor Calculations'!B18="","",'Instructor Calculations'!B18)</f>
        <v>43769</v>
      </c>
      <c r="C19" s="95">
        <f>IF('Instructor Calculations'!C18="","",'Instructor Calculations'!C18)</f>
        <v>17</v>
      </c>
      <c r="D19" s="95">
        <f>IF('Instructor Calculations'!D18="","",'Instructor Calculations'!D18)</f>
        <v>0</v>
      </c>
      <c r="E19" s="95">
        <f>IF('Instructor Calculations'!E18="","",'Instructor Calculations'!E18)</f>
        <v>65</v>
      </c>
      <c r="F19" s="95">
        <f>IF('Instructor Calculations'!F18="","",'Instructor Calculations'!F18)</f>
        <v>71.5</v>
      </c>
      <c r="G19" s="95">
        <f>IF('Instructor Calculations'!M18&lt;0.002,"",'Instructor Calculations'!M18)</f>
        <v>75</v>
      </c>
      <c r="H19" s="134" t="str">
        <f>IF('Instructor Calculations'!Y18&lt;0.002,"",'Instructor Calculations'!Y18)</f>
        <v>????</v>
      </c>
      <c r="I19" s="154" t="str">
        <f>'Instructor Calculations'!Y18</f>
        <v>????</v>
      </c>
      <c r="J19" s="135" t="str">
        <f>IF('Instructor Calculations'!X18&lt;0.002,"",'Instructor Calculations'!X18)</f>
        <v>A+</v>
      </c>
      <c r="K19" s="8"/>
      <c r="L19" s="8"/>
      <c r="M19" s="2"/>
      <c r="N19" s="2"/>
      <c r="O19" s="8"/>
      <c r="P19" s="8"/>
      <c r="Q19" s="2"/>
      <c r="R19" s="2"/>
      <c r="S19" s="1"/>
    </row>
    <row r="20" spans="1:19" x14ac:dyDescent="0.25">
      <c r="A20" s="93" t="str">
        <f>IF('Instructor Calculations'!A19="","",'Instructor Calculations'!A19)</f>
        <v>In Midterm prediction</v>
      </c>
      <c r="B20" s="481">
        <f>IF('Instructor Calculations'!B19="","",'Instructor Calculations'!B19)</f>
        <v>43769</v>
      </c>
      <c r="C20" s="95">
        <f>IF('Instructor Calculations'!C19="","",'Instructor Calculations'!C19)</f>
        <v>0</v>
      </c>
      <c r="D20" s="95">
        <f>IF('Instructor Calculations'!D19="","",'Instructor Calculations'!D19)</f>
        <v>0.5</v>
      </c>
      <c r="E20" s="95">
        <f>IF('Instructor Calculations'!E19="","",'Instructor Calculations'!E19)</f>
        <v>1E-3</v>
      </c>
      <c r="F20" s="95">
        <f>IF('Instructor Calculations'!F19="","",'Instructor Calculations'!F19)</f>
        <v>1.15E-3</v>
      </c>
      <c r="G20" s="95">
        <f>IF('Instructor Calculations'!M19&lt;0.002,"",'Instructor Calculations'!M19)</f>
        <v>80</v>
      </c>
      <c r="H20" s="134" t="str">
        <f>IF('Instructor Calculations'!Y19&lt;0.002,"",'Instructor Calculations'!Y19)</f>
        <v>????</v>
      </c>
      <c r="I20" s="154" t="str">
        <f>'Instructor Calculations'!Y19</f>
        <v>????</v>
      </c>
      <c r="J20" s="135" t="str">
        <f>IF('Instructor Calculations'!X19&lt;0.002,"",'Instructor Calculations'!X19)</f>
        <v>A+</v>
      </c>
      <c r="K20" s="8"/>
      <c r="L20" s="8"/>
      <c r="M20" s="2"/>
      <c r="N20" s="2"/>
      <c r="O20" s="8"/>
      <c r="P20" s="8"/>
      <c r="Q20" s="2"/>
      <c r="R20" s="2"/>
      <c r="S20" s="1"/>
    </row>
    <row r="21" spans="1:19" x14ac:dyDescent="0.25">
      <c r="A21" s="93" t="str">
        <f>IF('Instructor Calculations'!A20="","",'Instructor Calculations'!A20)</f>
        <v>Post Midterm EMA Submit</v>
      </c>
      <c r="B21" s="481">
        <f>IF('Instructor Calculations'!B20="","",'Instructor Calculations'!B20)</f>
        <v>43771</v>
      </c>
      <c r="C21" s="95">
        <f>IF('Instructor Calculations'!C20="","",'Instructor Calculations'!C20)</f>
        <v>0</v>
      </c>
      <c r="D21" s="95">
        <f>IF('Instructor Calculations'!D20="","",'Instructor Calculations'!D20)</f>
        <v>0.5</v>
      </c>
      <c r="E21" s="95">
        <f>IF('Instructor Calculations'!E20="","",'Instructor Calculations'!E20)</f>
        <v>1E-3</v>
      </c>
      <c r="F21" s="95">
        <f>IF('Instructor Calculations'!F20="","",'Instructor Calculations'!F20)</f>
        <v>1.15E-3</v>
      </c>
      <c r="G21" s="95">
        <f>IF('Instructor Calculations'!M20&lt;0.002,"",'Instructor Calculations'!M20)</f>
        <v>70</v>
      </c>
      <c r="H21" s="134" t="str">
        <f>IF('Instructor Calculations'!Y20&lt;0.002,"",'Instructor Calculations'!Y20)</f>
        <v>????</v>
      </c>
      <c r="I21" s="154" t="str">
        <f>'Instructor Calculations'!Y20</f>
        <v>????</v>
      </c>
      <c r="J21" s="135" t="str">
        <f>IF('Instructor Calculations'!X20&lt;0.002,"",'Instructor Calculations'!X20)</f>
        <v>A+</v>
      </c>
      <c r="K21" s="8"/>
      <c r="L21" s="8"/>
      <c r="M21" s="2"/>
      <c r="N21" s="2"/>
      <c r="O21" s="8"/>
      <c r="P21" s="8"/>
      <c r="Q21" s="2"/>
      <c r="R21" s="2"/>
      <c r="S21" s="1"/>
    </row>
    <row r="22" spans="1:19" x14ac:dyDescent="0.25">
      <c r="A22" s="93" t="str">
        <f>IF('Instructor Calculations'!A21="","",'Instructor Calculations'!A21)</f>
        <v>Post Quiz 3 EMASubmit</v>
      </c>
      <c r="B22" s="481">
        <f>IF('Instructor Calculations'!B21="","",'Instructor Calculations'!B21)</f>
        <v>43789</v>
      </c>
      <c r="C22" s="95">
        <f>IF('Instructor Calculations'!C21="","",'Instructor Calculations'!C21)</f>
        <v>0</v>
      </c>
      <c r="D22" s="95">
        <f>IF('Instructor Calculations'!D21="","",'Instructor Calculations'!D21)</f>
        <v>0.5</v>
      </c>
      <c r="E22" s="95">
        <f>IF('Instructor Calculations'!E21="","",'Instructor Calculations'!E21)</f>
        <v>1E-3</v>
      </c>
      <c r="F22" s="95">
        <f>IF('Instructor Calculations'!F21="","",'Instructor Calculations'!F21)</f>
        <v>1.15E-3</v>
      </c>
      <c r="G22" s="95">
        <f>IF('Instructor Calculations'!M21&lt;0.002,"",'Instructor Calculations'!M21)</f>
        <v>80</v>
      </c>
      <c r="H22" s="134" t="str">
        <f>IF('Instructor Calculations'!Y21&lt;0.002,"",'Instructor Calculations'!Y21)</f>
        <v>????</v>
      </c>
      <c r="I22" s="154" t="str">
        <f>'Instructor Calculations'!Y21</f>
        <v>????</v>
      </c>
      <c r="J22" s="135" t="str">
        <f>IF('Instructor Calculations'!X21&lt;0.002,"",'Instructor Calculations'!X21)</f>
        <v>A+</v>
      </c>
      <c r="K22" s="8"/>
      <c r="L22" s="8"/>
      <c r="M22" s="2"/>
      <c r="N22" s="2"/>
      <c r="O22" s="8"/>
      <c r="P22" s="8"/>
      <c r="Q22" s="2"/>
      <c r="R22" s="2"/>
      <c r="S22" s="1"/>
    </row>
    <row r="23" spans="1:19" x14ac:dyDescent="0.25">
      <c r="A23" s="93" t="str">
        <f>IF('Instructor Calculations'!A22="","",'Instructor Calculations'!A22)</f>
        <v>Lab 3 Demo</v>
      </c>
      <c r="B23" s="481">
        <f>IF('Instructor Calculations'!B22="","",'Instructor Calculations'!B22)</f>
        <v>43789</v>
      </c>
      <c r="C23" s="95">
        <f>IF('Instructor Calculations'!C22="","",'Instructor Calculations'!C22)</f>
        <v>2.4</v>
      </c>
      <c r="D23" s="95">
        <f>IF('Instructor Calculations'!D22="","",'Instructor Calculations'!D22)</f>
        <v>0</v>
      </c>
      <c r="E23" s="95">
        <f>IF('Instructor Calculations'!E22="","",'Instructor Calculations'!E22)</f>
        <v>80</v>
      </c>
      <c r="F23" s="95">
        <f>IF('Instructor Calculations'!F22="","",'Instructor Calculations'!F22)</f>
        <v>96</v>
      </c>
      <c r="G23" s="95">
        <f>IF('Instructor Calculations'!M22&lt;0.002,"",'Instructor Calculations'!M22)</f>
        <v>80</v>
      </c>
      <c r="H23" s="134" t="str">
        <f>IF('Instructor Calculations'!Y22&lt;0.002,"",'Instructor Calculations'!Y22)</f>
        <v>????</v>
      </c>
      <c r="I23" s="154" t="str">
        <f>'Instructor Calculations'!Y22</f>
        <v>????</v>
      </c>
      <c r="J23" s="135" t="str">
        <f>IF('Instructor Calculations'!X22&lt;0.002,"",'Instructor Calculations'!X22)</f>
        <v>A+</v>
      </c>
      <c r="K23" s="8"/>
      <c r="L23" s="8"/>
      <c r="M23" s="2"/>
      <c r="N23" s="2"/>
      <c r="O23" s="8"/>
      <c r="P23" s="8"/>
      <c r="Q23" s="2"/>
      <c r="R23" s="2"/>
      <c r="S23" s="1"/>
    </row>
    <row r="24" spans="1:19" x14ac:dyDescent="0.25">
      <c r="A24" s="93" t="str">
        <f>IF('Instructor Calculations'!A23="","",'Instructor Calculations'!A23)</f>
        <v>Quiz 3</v>
      </c>
      <c r="B24" s="481">
        <f>IF('Instructor Calculations'!B23="","",'Instructor Calculations'!B23)</f>
        <v>43791</v>
      </c>
      <c r="C24" s="95">
        <f>IF('Instructor Calculations'!C23="","",'Instructor Calculations'!C23)</f>
        <v>4</v>
      </c>
      <c r="D24" s="95">
        <f>IF('Instructor Calculations'!D23="","",'Instructor Calculations'!D23)</f>
        <v>0</v>
      </c>
      <c r="E24" s="95">
        <f>IF('Instructor Calculations'!E23="","",'Instructor Calculations'!E23)</f>
        <v>65</v>
      </c>
      <c r="F24" s="95">
        <f>IF('Instructor Calculations'!F23="","",'Instructor Calculations'!F23)</f>
        <v>71.5</v>
      </c>
      <c r="G24" s="95">
        <f>IF('Instructor Calculations'!M23&lt;0.002,"",'Instructor Calculations'!M23)</f>
        <v>70</v>
      </c>
      <c r="H24" s="134" t="str">
        <f>IF('Instructor Calculations'!Y23&lt;0.002,"",'Instructor Calculations'!Y23)</f>
        <v>????</v>
      </c>
      <c r="I24" s="154" t="str">
        <f>'Instructor Calculations'!Y23</f>
        <v>????</v>
      </c>
      <c r="J24" s="135" t="str">
        <f>IF('Instructor Calculations'!X23&lt;0.002,"",'Instructor Calculations'!X23)</f>
        <v>A+</v>
      </c>
      <c r="K24" s="8"/>
      <c r="L24" s="8"/>
      <c r="M24" s="2"/>
      <c r="N24" s="2"/>
      <c r="O24" s="8"/>
      <c r="P24" s="8"/>
      <c r="Q24" s="2"/>
      <c r="R24" s="2"/>
      <c r="S24" s="1"/>
    </row>
    <row r="25" spans="1:19" x14ac:dyDescent="0.25">
      <c r="A25" s="93" t="str">
        <f>IF('Instructor Calculations'!A24="","",'Instructor Calculations'!A24)</f>
        <v>In Quiz 3 prediction</v>
      </c>
      <c r="B25" s="481">
        <f>IF('Instructor Calculations'!B24="","",'Instructor Calculations'!B24)</f>
        <v>43791</v>
      </c>
      <c r="C25" s="95">
        <f>IF('Instructor Calculations'!C24="","",'Instructor Calculations'!C24)</f>
        <v>0</v>
      </c>
      <c r="D25" s="95">
        <f>IF('Instructor Calculations'!D24="","",'Instructor Calculations'!D24)</f>
        <v>0.5</v>
      </c>
      <c r="E25" s="95">
        <f>IF('Instructor Calculations'!E24="","",'Instructor Calculations'!E24)</f>
        <v>1E-3</v>
      </c>
      <c r="F25" s="95">
        <f>IF('Instructor Calculations'!F24="","",'Instructor Calculations'!F24)</f>
        <v>1.15E-3</v>
      </c>
      <c r="G25" s="95">
        <f>IF('Instructor Calculations'!M24&lt;0.002,"",'Instructor Calculations'!M24)</f>
        <v>80</v>
      </c>
      <c r="H25" s="134" t="str">
        <f>IF('Instructor Calculations'!Y24&lt;0.002,"",'Instructor Calculations'!Y24)</f>
        <v>????</v>
      </c>
      <c r="I25" s="154" t="str">
        <f>'Instructor Calculations'!Y24</f>
        <v>????</v>
      </c>
      <c r="J25" s="135" t="str">
        <f>IF('Instructor Calculations'!X24&lt;0.002,"",'Instructor Calculations'!X24)</f>
        <v>A+</v>
      </c>
      <c r="K25" s="8"/>
      <c r="L25" s="8"/>
      <c r="M25" s="2"/>
      <c r="N25" s="2"/>
      <c r="O25" s="8"/>
      <c r="P25" s="8"/>
      <c r="Q25" s="2"/>
      <c r="R25" s="2"/>
      <c r="S25" s="1"/>
    </row>
    <row r="26" spans="1:19" x14ac:dyDescent="0.25">
      <c r="A26" s="93" t="str">
        <f>IF('Instructor Calculations'!A25="","",'Instructor Calculations'!A25)</f>
        <v>Lab 4 Demo</v>
      </c>
      <c r="B26" s="481">
        <f>IF('Instructor Calculations'!B25="","",'Instructor Calculations'!B25)</f>
        <v>43802</v>
      </c>
      <c r="C26" s="95">
        <f>IF('Instructor Calculations'!C25="","",'Instructor Calculations'!C25)</f>
        <v>4</v>
      </c>
      <c r="D26" s="95">
        <f>IF('Instructor Calculations'!D25="","",'Instructor Calculations'!D25)</f>
        <v>0</v>
      </c>
      <c r="E26" s="95">
        <f>IF('Instructor Calculations'!E25="","",'Instructor Calculations'!E25)</f>
        <v>70</v>
      </c>
      <c r="F26" s="95">
        <f>IF('Instructor Calculations'!F25="","",'Instructor Calculations'!F25)</f>
        <v>84</v>
      </c>
      <c r="G26" s="95">
        <f>IF('Instructor Calculations'!M25&lt;0.002,"",'Instructor Calculations'!M25)</f>
        <v>80</v>
      </c>
      <c r="H26" s="134" t="str">
        <f>IF('Instructor Calculations'!Y25&lt;0.002,"",'Instructor Calculations'!Y25)</f>
        <v>????</v>
      </c>
      <c r="I26" s="154" t="str">
        <f>'Instructor Calculations'!Y25</f>
        <v>????</v>
      </c>
      <c r="J26" s="135" t="str">
        <f>IF('Instructor Calculations'!X25&lt;0.002,"",'Instructor Calculations'!X25)</f>
        <v>D+/C-/C</v>
      </c>
      <c r="K26" s="8"/>
      <c r="L26" s="8"/>
      <c r="M26" s="2"/>
      <c r="N26" s="2"/>
      <c r="O26" s="8"/>
      <c r="P26" s="8"/>
      <c r="Q26" s="2"/>
      <c r="R26" s="2"/>
      <c r="S26" s="1"/>
    </row>
    <row r="27" spans="1:19" x14ac:dyDescent="0.25">
      <c r="A27" s="93" t="str">
        <f>IF('Instructor Calculations'!A26="","",'Instructor Calculations'!A26)</f>
        <v>Lab 3/4 Report</v>
      </c>
      <c r="B27" s="481">
        <f>IF('Instructor Calculations'!B26="","",'Instructor Calculations'!B26)</f>
        <v>43804</v>
      </c>
      <c r="C27" s="95">
        <f>IF('Instructor Calculations'!C26="","",'Instructor Calculations'!C26)</f>
        <v>2.25</v>
      </c>
      <c r="D27" s="95">
        <f>IF('Instructor Calculations'!D26="","",'Instructor Calculations'!D26)</f>
        <v>0</v>
      </c>
      <c r="E27" s="95">
        <f>IF('Instructor Calculations'!E26="","",'Instructor Calculations'!E26)</f>
        <v>60</v>
      </c>
      <c r="F27" s="95">
        <f>IF('Instructor Calculations'!F26="","",'Instructor Calculations'!F26)</f>
        <v>72</v>
      </c>
      <c r="G27" s="95">
        <f>IF('Instructor Calculations'!M26&lt;0.002,"",'Instructor Calculations'!M26)</f>
        <v>90</v>
      </c>
      <c r="H27" s="134" t="str">
        <f>IF('Instructor Calculations'!Y26&lt;0.002,"",'Instructor Calculations'!Y26)</f>
        <v>????</v>
      </c>
      <c r="I27" s="154" t="str">
        <f>'Instructor Calculations'!Y26</f>
        <v>????</v>
      </c>
      <c r="J27" s="135" t="str">
        <f>IF('Instructor Calculations'!X26&lt;0.002,"",'Instructor Calculations'!X26)</f>
        <v>D+/C-/C</v>
      </c>
      <c r="K27" s="8"/>
      <c r="L27" s="8"/>
      <c r="M27" s="2"/>
      <c r="N27" s="2"/>
      <c r="O27" s="8"/>
      <c r="P27" s="8"/>
      <c r="Q27" s="2"/>
      <c r="R27" s="2"/>
      <c r="S27" s="1"/>
    </row>
    <row r="28" spans="1:19" x14ac:dyDescent="0.25">
      <c r="A28" s="93" t="str">
        <f>IF('Instructor Calculations'!A27="","",'Instructor Calculations'!A27)</f>
        <v>Pre Final EMA Submit</v>
      </c>
      <c r="B28" s="481">
        <f>IF('Instructor Calculations'!B27="","",'Instructor Calculations'!B27)</f>
        <v>43809</v>
      </c>
      <c r="C28" s="95">
        <f>IF('Instructor Calculations'!C27="","",'Instructor Calculations'!C27)</f>
        <v>2</v>
      </c>
      <c r="D28" s="95">
        <f>IF('Instructor Calculations'!D27="","",'Instructor Calculations'!D27)</f>
        <v>0</v>
      </c>
      <c r="E28" s="95">
        <f>IF('Instructor Calculations'!E27="","",'Instructor Calculations'!E27)</f>
        <v>60</v>
      </c>
      <c r="F28" s="95">
        <f>IF('Instructor Calculations'!F27="","",'Instructor Calculations'!F27)</f>
        <v>69</v>
      </c>
      <c r="G28" s="95">
        <f>IF('Instructor Calculations'!M27&lt;0.002,"",'Instructor Calculations'!M27)</f>
        <v>90</v>
      </c>
      <c r="H28" s="134" t="str">
        <f>IF('Instructor Calculations'!Y27&lt;0.002,"",'Instructor Calculations'!Y27)</f>
        <v>????</v>
      </c>
      <c r="I28" s="154" t="str">
        <f>'Instructor Calculations'!Y27</f>
        <v>????</v>
      </c>
      <c r="J28" s="135" t="str">
        <f>IF('Instructor Calculations'!X27&lt;0.002,"",'Instructor Calculations'!X27)</f>
        <v>A+</v>
      </c>
      <c r="K28" s="8"/>
      <c r="L28" s="8"/>
      <c r="M28" s="2"/>
      <c r="N28" s="2"/>
      <c r="O28" s="8"/>
      <c r="P28" s="8"/>
      <c r="Q28" s="2"/>
      <c r="R28" s="2"/>
      <c r="S28" s="1"/>
    </row>
    <row r="29" spans="1:19" x14ac:dyDescent="0.25">
      <c r="A29" s="93" t="str">
        <f>IF('Instructor Calculations'!A28="","",'Instructor Calculations'!A28)</f>
        <v>Final Exam</v>
      </c>
      <c r="B29" s="481">
        <f>IF('Instructor Calculations'!B28="","",'Instructor Calculations'!B28)</f>
        <v>43814</v>
      </c>
      <c r="C29" s="95">
        <f>IF('Instructor Calculations'!C28="","",'Instructor Calculations'!C28)</f>
        <v>42</v>
      </c>
      <c r="D29" s="95">
        <f>IF('Instructor Calculations'!D28="","",'Instructor Calculations'!D28)</f>
        <v>0</v>
      </c>
      <c r="E29" s="95">
        <f>IF('Instructor Calculations'!E28="","",'Instructor Calculations'!E28)</f>
        <v>70</v>
      </c>
      <c r="F29" s="95">
        <f>IF('Instructor Calculations'!F28="","",'Instructor Calculations'!F28)</f>
        <v>80.5</v>
      </c>
      <c r="G29" s="95">
        <f>IF('Instructor Calculations'!M28&lt;0.002,"",'Instructor Calculations'!M28)</f>
        <v>75</v>
      </c>
      <c r="H29" s="134" t="str">
        <f>IF('Instructor Calculations'!Y28&lt;0.002,"",'Instructor Calculations'!Y28)</f>
        <v>????</v>
      </c>
      <c r="I29" s="154" t="str">
        <f>'Instructor Calculations'!Y28</f>
        <v>????</v>
      </c>
      <c r="J29" s="135" t="str">
        <f>IF('Instructor Calculations'!X28&lt;0.002,"",'Instructor Calculations'!X28)</f>
        <v>B+/A-/A</v>
      </c>
      <c r="K29" s="8"/>
      <c r="L29" s="8"/>
      <c r="M29" s="2"/>
      <c r="N29" s="2"/>
      <c r="O29" s="8"/>
      <c r="P29" s="8"/>
      <c r="Q29" s="2"/>
      <c r="R29" s="2"/>
      <c r="S29" s="1"/>
    </row>
    <row r="30" spans="1:19" x14ac:dyDescent="0.25">
      <c r="A30" s="93" t="str">
        <f>IF('Instructor Calculations'!A29="","",'Instructor Calculations'!A29)</f>
        <v>In Final Exam prediction</v>
      </c>
      <c r="B30" s="481">
        <f>IF('Instructor Calculations'!B29="","",'Instructor Calculations'!B29)</f>
        <v>43814</v>
      </c>
      <c r="C30" s="95">
        <f>IF('Instructor Calculations'!C29="","",'Instructor Calculations'!C29)</f>
        <v>0</v>
      </c>
      <c r="D30" s="95">
        <f>IF('Instructor Calculations'!D29="","",'Instructor Calculations'!D29)</f>
        <v>1</v>
      </c>
      <c r="E30" s="95">
        <f>IF('Instructor Calculations'!E29="","",'Instructor Calculations'!E29)</f>
        <v>1E-3</v>
      </c>
      <c r="F30" s="95">
        <f>IF('Instructor Calculations'!F29="","",'Instructor Calculations'!F29)</f>
        <v>1.15E-3</v>
      </c>
      <c r="G30" s="95">
        <f>IF('Instructor Calculations'!M29&lt;0.002,"",'Instructor Calculations'!M29)</f>
        <v>90</v>
      </c>
      <c r="H30" s="134" t="str">
        <f>IF('Instructor Calculations'!Y29&lt;0.002,"",'Instructor Calculations'!Y29)</f>
        <v>????</v>
      </c>
      <c r="I30" s="154" t="str">
        <f>'Instructor Calculations'!Y29</f>
        <v>????</v>
      </c>
      <c r="J30" s="135" t="str">
        <f>IF('Instructor Calculations'!X29&lt;0.002,"",'Instructor Calculations'!X29)</f>
        <v/>
      </c>
      <c r="K30" s="8"/>
      <c r="L30" s="8"/>
      <c r="M30" s="2"/>
      <c r="N30" s="2"/>
      <c r="O30" s="8"/>
      <c r="P30" s="8"/>
      <c r="Q30" s="2"/>
      <c r="R30" s="2"/>
      <c r="S30" s="1"/>
    </row>
    <row r="31" spans="1:19" x14ac:dyDescent="0.25">
      <c r="A31" s="93" t="str">
        <f>IF('Instructor Calculations'!A30="","",'Instructor Calculations'!A30)</f>
        <v/>
      </c>
      <c r="B31" s="481" t="str">
        <f>IF('Instructor Calculations'!B30="","",'Instructor Calculations'!B30)</f>
        <v/>
      </c>
      <c r="C31" s="95" t="str">
        <f>IF('Instructor Calculations'!C30="","",'Instructor Calculations'!C30)</f>
        <v/>
      </c>
      <c r="D31" s="95" t="str">
        <f>IF('Instructor Calculations'!D30="","",'Instructor Calculations'!D30)</f>
        <v/>
      </c>
      <c r="E31" s="95" t="str">
        <f>IF('Instructor Calculations'!E30="","",'Instructor Calculations'!E30)</f>
        <v/>
      </c>
      <c r="F31" s="95" t="str">
        <f>IF('Instructor Calculations'!F30="","",'Instructor Calculations'!F30)</f>
        <v/>
      </c>
      <c r="G31" s="95" t="str">
        <f>IF('Instructor Calculations'!M30&lt;0.002,"",'Instructor Calculations'!M30)</f>
        <v/>
      </c>
      <c r="H31" s="134" t="str">
        <f>IF('Instructor Calculations'!Y30&lt;0.002,"",'Instructor Calculations'!Y30)</f>
        <v/>
      </c>
      <c r="I31" s="154" t="str">
        <f>'Instructor Calculations'!Y30</f>
        <v/>
      </c>
      <c r="J31" s="135" t="str">
        <f>IF('Instructor Calculations'!X30&lt;0.002,"",'Instructor Calculations'!X30)</f>
        <v/>
      </c>
      <c r="K31" s="8"/>
      <c r="L31" s="8"/>
      <c r="M31" s="2"/>
      <c r="N31" s="2"/>
      <c r="O31" s="8"/>
      <c r="P31" s="8"/>
      <c r="Q31" s="2"/>
      <c r="R31" s="2"/>
      <c r="S31" s="1"/>
    </row>
    <row r="32" spans="1:19" x14ac:dyDescent="0.25">
      <c r="A32" s="93" t="str">
        <f>IF('Instructor Calculations'!A31="","",'Instructor Calculations'!A31)</f>
        <v/>
      </c>
      <c r="B32" s="481" t="str">
        <f>IF('Instructor Calculations'!B31="","",'Instructor Calculations'!B31)</f>
        <v/>
      </c>
      <c r="C32" s="95" t="str">
        <f>IF('Instructor Calculations'!C31="","",'Instructor Calculations'!C31)</f>
        <v/>
      </c>
      <c r="D32" s="95" t="str">
        <f>IF('Instructor Calculations'!D31="","",'Instructor Calculations'!D31)</f>
        <v/>
      </c>
      <c r="E32" s="95" t="str">
        <f>IF('Instructor Calculations'!E31="","",'Instructor Calculations'!E31)</f>
        <v/>
      </c>
      <c r="F32" s="95" t="str">
        <f>IF('Instructor Calculations'!F31="","",'Instructor Calculations'!F31)</f>
        <v/>
      </c>
      <c r="G32" s="95" t="str">
        <f>IF('Instructor Calculations'!M31&lt;0.002,"",'Instructor Calculations'!M31)</f>
        <v/>
      </c>
      <c r="H32" s="134" t="str">
        <f>IF('Instructor Calculations'!Y31&lt;0.002,"",'Instructor Calculations'!Y31)</f>
        <v/>
      </c>
      <c r="I32" s="154" t="str">
        <f>'Instructor Calculations'!Y31</f>
        <v/>
      </c>
      <c r="J32" s="135" t="str">
        <f>IF('Instructor Calculations'!X31&lt;0.002,"",'Instructor Calculations'!X31)</f>
        <v/>
      </c>
      <c r="K32" s="8"/>
      <c r="L32" s="8"/>
      <c r="M32" s="2"/>
      <c r="N32" s="2"/>
      <c r="O32" s="8"/>
      <c r="P32" s="8"/>
      <c r="Q32" s="2"/>
      <c r="R32" s="2"/>
      <c r="S32" s="1"/>
    </row>
    <row r="33" spans="1:19" x14ac:dyDescent="0.25">
      <c r="A33" s="93" t="str">
        <f>IF('Instructor Calculations'!A32="","",'Instructor Calculations'!A32)</f>
        <v/>
      </c>
      <c r="B33" s="481" t="str">
        <f>IF('Instructor Calculations'!B32="","",'Instructor Calculations'!B32)</f>
        <v/>
      </c>
      <c r="C33" s="95" t="str">
        <f>IF('Instructor Calculations'!C32="","",'Instructor Calculations'!C32)</f>
        <v/>
      </c>
      <c r="D33" s="95" t="str">
        <f>IF('Instructor Calculations'!D32="","",'Instructor Calculations'!D32)</f>
        <v/>
      </c>
      <c r="E33" s="95" t="str">
        <f>IF('Instructor Calculations'!E32="","",'Instructor Calculations'!E32)</f>
        <v/>
      </c>
      <c r="F33" s="95" t="str">
        <f>IF('Instructor Calculations'!F32="","",'Instructor Calculations'!F32)</f>
        <v/>
      </c>
      <c r="G33" s="95" t="str">
        <f>IF('Instructor Calculations'!M32&lt;0.002,"",'Instructor Calculations'!M32)</f>
        <v/>
      </c>
      <c r="H33" s="134" t="str">
        <f>IF('Instructor Calculations'!Y32&lt;0.002,"",'Instructor Calculations'!Y32)</f>
        <v/>
      </c>
      <c r="I33" s="154" t="str">
        <f>'Instructor Calculations'!Y32</f>
        <v/>
      </c>
      <c r="J33" s="135" t="str">
        <f>IF('Instructor Calculations'!X32&lt;0.002,"",'Instructor Calculations'!X32)</f>
        <v/>
      </c>
      <c r="K33" s="8"/>
      <c r="L33" s="8"/>
      <c r="M33" s="2"/>
      <c r="N33" s="2"/>
      <c r="O33" s="8"/>
      <c r="P33" s="8"/>
      <c r="Q33" s="2"/>
      <c r="R33" s="2"/>
      <c r="S33" s="1"/>
    </row>
    <row r="34" spans="1:19" x14ac:dyDescent="0.25">
      <c r="A34" s="93" t="str">
        <f>IF('Instructor Calculations'!A33="","",'Instructor Calculations'!A33)</f>
        <v/>
      </c>
      <c r="B34" s="481" t="str">
        <f>IF('Instructor Calculations'!B33="","",'Instructor Calculations'!B33)</f>
        <v/>
      </c>
      <c r="C34" s="95" t="str">
        <f>IF('Instructor Calculations'!C33="","",'Instructor Calculations'!C33)</f>
        <v/>
      </c>
      <c r="D34" s="95" t="str">
        <f>IF('Instructor Calculations'!D33="","",'Instructor Calculations'!D33)</f>
        <v/>
      </c>
      <c r="E34" s="95" t="str">
        <f>IF('Instructor Calculations'!E33="","",'Instructor Calculations'!E33)</f>
        <v/>
      </c>
      <c r="F34" s="95" t="str">
        <f>IF('Instructor Calculations'!F33="","",'Instructor Calculations'!F33)</f>
        <v/>
      </c>
      <c r="G34" s="95" t="str">
        <f>IF('Instructor Calculations'!M33&lt;0.002,"",'Instructor Calculations'!M33)</f>
        <v/>
      </c>
      <c r="H34" s="134" t="str">
        <f>IF('Instructor Calculations'!Y33&lt;0.002,"",'Instructor Calculations'!Y33)</f>
        <v/>
      </c>
      <c r="I34" s="154" t="str">
        <f>'Instructor Calculations'!Y33</f>
        <v/>
      </c>
      <c r="J34" s="135" t="str">
        <f>IF('Instructor Calculations'!X33&lt;0.002,"",'Instructor Calculations'!X33)</f>
        <v/>
      </c>
      <c r="K34" s="8"/>
      <c r="L34" s="8"/>
      <c r="M34" s="2"/>
      <c r="N34" s="2"/>
      <c r="O34" s="8"/>
      <c r="P34" s="8"/>
      <c r="Q34" s="2"/>
      <c r="R34" s="2"/>
      <c r="S34" s="1"/>
    </row>
    <row r="35" spans="1:19" x14ac:dyDescent="0.25">
      <c r="A35" s="93" t="str">
        <f>IF('Instructor Calculations'!A34="","",'Instructor Calculations'!A34)</f>
        <v/>
      </c>
      <c r="B35" s="481" t="str">
        <f>IF('Instructor Calculations'!B34="","",'Instructor Calculations'!B34)</f>
        <v/>
      </c>
      <c r="C35" s="95" t="str">
        <f>IF('Instructor Calculations'!C34="","",'Instructor Calculations'!C34)</f>
        <v/>
      </c>
      <c r="D35" s="95" t="str">
        <f>IF('Instructor Calculations'!D34="","",'Instructor Calculations'!D34)</f>
        <v/>
      </c>
      <c r="E35" s="95" t="str">
        <f>IF('Instructor Calculations'!E34="","",'Instructor Calculations'!E34)</f>
        <v/>
      </c>
      <c r="F35" s="95" t="str">
        <f>IF('Instructor Calculations'!F34="","",'Instructor Calculations'!F34)</f>
        <v/>
      </c>
      <c r="G35" s="95" t="str">
        <f>IF('Instructor Calculations'!M34&lt;0.002,"",'Instructor Calculations'!M34)</f>
        <v/>
      </c>
      <c r="H35" s="134" t="str">
        <f>IF('Instructor Calculations'!Y34&lt;0.002,"",'Instructor Calculations'!Y34)</f>
        <v/>
      </c>
      <c r="I35" s="154" t="str">
        <f>'Instructor Calculations'!Y34</f>
        <v/>
      </c>
      <c r="J35" s="135" t="str">
        <f>IF('Instructor Calculations'!X34&lt;0.002,"",'Instructor Calculations'!X34)</f>
        <v/>
      </c>
      <c r="K35" s="8"/>
      <c r="L35" s="8"/>
      <c r="M35" s="2"/>
      <c r="N35" s="2"/>
      <c r="O35" s="8"/>
      <c r="P35" s="8"/>
      <c r="Q35" s="2"/>
      <c r="R35" s="2"/>
      <c r="S35" s="1"/>
    </row>
    <row r="36" spans="1:19" x14ac:dyDescent="0.25">
      <c r="A36" s="93" t="str">
        <f>IF('Instructor Calculations'!A35="","",'Instructor Calculations'!A35)</f>
        <v/>
      </c>
      <c r="B36" s="481" t="str">
        <f>IF('Instructor Calculations'!B35="","",'Instructor Calculations'!B35)</f>
        <v/>
      </c>
      <c r="C36" s="95" t="str">
        <f>IF('Instructor Calculations'!C35="","",'Instructor Calculations'!C35)</f>
        <v/>
      </c>
      <c r="D36" s="95" t="str">
        <f>IF('Instructor Calculations'!D35="","",'Instructor Calculations'!D35)</f>
        <v/>
      </c>
      <c r="E36" s="95" t="str">
        <f>IF('Instructor Calculations'!E35="","",'Instructor Calculations'!E35)</f>
        <v/>
      </c>
      <c r="F36" s="95" t="str">
        <f>IF('Instructor Calculations'!F35="","",'Instructor Calculations'!F35)</f>
        <v/>
      </c>
      <c r="G36" s="95" t="str">
        <f>IF('Instructor Calculations'!M35&lt;0.002,"",'Instructor Calculations'!M35)</f>
        <v/>
      </c>
      <c r="H36" s="134" t="str">
        <f>IF('Instructor Calculations'!Y35&lt;0.002,"",'Instructor Calculations'!Y35)</f>
        <v/>
      </c>
      <c r="I36" s="154" t="str">
        <f>'Instructor Calculations'!Y35</f>
        <v/>
      </c>
      <c r="J36" s="135" t="str">
        <f>IF('Instructor Calculations'!X35&lt;0.002,"",'Instructor Calculations'!X35)</f>
        <v/>
      </c>
      <c r="K36" s="8"/>
      <c r="L36" s="8"/>
      <c r="M36" s="2"/>
      <c r="N36" s="2"/>
      <c r="O36" s="8"/>
      <c r="P36" s="8"/>
      <c r="Q36" s="2"/>
      <c r="R36" s="2"/>
      <c r="S36" s="1"/>
    </row>
    <row r="37" spans="1:19" x14ac:dyDescent="0.25">
      <c r="A37" s="93" t="str">
        <f>IF('Instructor Calculations'!A36="","",'Instructor Calculations'!A36)</f>
        <v/>
      </c>
      <c r="B37" s="481" t="str">
        <f>IF('Instructor Calculations'!B36="","",'Instructor Calculations'!B36)</f>
        <v/>
      </c>
      <c r="C37" s="95" t="str">
        <f>IF('Instructor Calculations'!C36="","",'Instructor Calculations'!C36)</f>
        <v/>
      </c>
      <c r="D37" s="95" t="str">
        <f>IF('Instructor Calculations'!D36="","",'Instructor Calculations'!D36)</f>
        <v/>
      </c>
      <c r="E37" s="95" t="str">
        <f>IF('Instructor Calculations'!E36="","",'Instructor Calculations'!E36)</f>
        <v/>
      </c>
      <c r="F37" s="95" t="str">
        <f>IF('Instructor Calculations'!F36="","",'Instructor Calculations'!F36)</f>
        <v/>
      </c>
      <c r="G37" s="95" t="str">
        <f>IF('Instructor Calculations'!M36&lt;0.002,"",'Instructor Calculations'!M36)</f>
        <v/>
      </c>
      <c r="H37" s="134" t="str">
        <f>IF('Instructor Calculations'!Y36&lt;0.002,"",'Instructor Calculations'!Y36)</f>
        <v/>
      </c>
      <c r="I37" s="154" t="str">
        <f>'Instructor Calculations'!Y36</f>
        <v/>
      </c>
      <c r="J37" s="135" t="str">
        <f>IF('Instructor Calculations'!X36&lt;0.002,"",'Instructor Calculations'!X36)</f>
        <v/>
      </c>
      <c r="K37" s="8"/>
      <c r="L37" s="8"/>
      <c r="M37" s="2"/>
      <c r="N37" s="2"/>
      <c r="O37" s="8"/>
      <c r="P37" s="8"/>
      <c r="Q37" s="2"/>
      <c r="R37" s="2"/>
      <c r="S37" s="1"/>
    </row>
    <row r="38" spans="1:19" x14ac:dyDescent="0.25">
      <c r="A38" s="93" t="str">
        <f>IF('Instructor Calculations'!A37="","",'Instructor Calculations'!A37)</f>
        <v/>
      </c>
      <c r="B38" s="481" t="str">
        <f>IF('Instructor Calculations'!B37="","",'Instructor Calculations'!B37)</f>
        <v/>
      </c>
      <c r="C38" s="95" t="str">
        <f>IF('Instructor Calculations'!C37="","",'Instructor Calculations'!C37)</f>
        <v/>
      </c>
      <c r="D38" s="95" t="str">
        <f>IF('Instructor Calculations'!D37="","",'Instructor Calculations'!D37)</f>
        <v/>
      </c>
      <c r="E38" s="95" t="str">
        <f>IF('Instructor Calculations'!E37="","",'Instructor Calculations'!E37)</f>
        <v/>
      </c>
      <c r="F38" s="95" t="str">
        <f>IF('Instructor Calculations'!F37="","",'Instructor Calculations'!F37)</f>
        <v/>
      </c>
      <c r="G38" s="95" t="str">
        <f>IF('Instructor Calculations'!M37&lt;0.002,"",'Instructor Calculations'!M37)</f>
        <v/>
      </c>
      <c r="H38" s="134" t="str">
        <f>IF('Instructor Calculations'!Y37&lt;0.002,"",'Instructor Calculations'!Y37)</f>
        <v/>
      </c>
      <c r="I38" s="154" t="str">
        <f>'Instructor Calculations'!Y37</f>
        <v/>
      </c>
      <c r="J38" s="135" t="str">
        <f>IF('Instructor Calculations'!X37&lt;0.002,"",'Instructor Calculations'!X37)</f>
        <v/>
      </c>
      <c r="K38" s="8"/>
      <c r="L38" s="8"/>
      <c r="M38" s="2"/>
      <c r="N38" s="2"/>
      <c r="O38" s="8"/>
      <c r="P38" s="8"/>
      <c r="Q38" s="2"/>
      <c r="R38" s="2"/>
      <c r="S38" s="1"/>
    </row>
    <row r="39" spans="1:19" x14ac:dyDescent="0.25">
      <c r="A39" s="93" t="str">
        <f>IF('Instructor Calculations'!A38="","",'Instructor Calculations'!A38)</f>
        <v/>
      </c>
      <c r="B39" s="481" t="str">
        <f>IF('Instructor Calculations'!B38="","",'Instructor Calculations'!B38)</f>
        <v/>
      </c>
      <c r="C39" s="95" t="str">
        <f>IF('Instructor Calculations'!C38="","",'Instructor Calculations'!C38)</f>
        <v/>
      </c>
      <c r="D39" s="95" t="str">
        <f>IF('Instructor Calculations'!D38="","",'Instructor Calculations'!D38)</f>
        <v/>
      </c>
      <c r="E39" s="95" t="str">
        <f>IF('Instructor Calculations'!E38="","",'Instructor Calculations'!E38)</f>
        <v/>
      </c>
      <c r="F39" s="95" t="str">
        <f>IF('Instructor Calculations'!F38="","",'Instructor Calculations'!F38)</f>
        <v/>
      </c>
      <c r="G39" s="95" t="str">
        <f>IF('Instructor Calculations'!M38&lt;0.002,"",'Instructor Calculations'!M38)</f>
        <v/>
      </c>
      <c r="H39" s="134" t="str">
        <f>IF('Instructor Calculations'!Y38&lt;0.002,"",'Instructor Calculations'!Y38)</f>
        <v/>
      </c>
      <c r="I39" s="154" t="str">
        <f>'Instructor Calculations'!Y38</f>
        <v/>
      </c>
      <c r="J39" s="135" t="str">
        <f>IF('Instructor Calculations'!X38&lt;0.002,"",'Instructor Calculations'!X38)</f>
        <v/>
      </c>
      <c r="K39" s="8"/>
      <c r="L39" s="8"/>
      <c r="M39" s="2"/>
      <c r="N39" s="2"/>
      <c r="O39" s="8"/>
      <c r="P39" s="8"/>
      <c r="Q39" s="2"/>
      <c r="R39" s="2"/>
      <c r="S39" s="1"/>
    </row>
    <row r="40" spans="1:19" x14ac:dyDescent="0.25">
      <c r="A40" s="93" t="str">
        <f>IF('Instructor Calculations'!A39="","",'Instructor Calculations'!A39)</f>
        <v/>
      </c>
      <c r="B40" s="481" t="str">
        <f>IF('Instructor Calculations'!B39="","",'Instructor Calculations'!B39)</f>
        <v/>
      </c>
      <c r="C40" s="95" t="str">
        <f>IF('Instructor Calculations'!C39="","",'Instructor Calculations'!C39)</f>
        <v/>
      </c>
      <c r="D40" s="95" t="str">
        <f>IF('Instructor Calculations'!D39="","",'Instructor Calculations'!D39)</f>
        <v/>
      </c>
      <c r="E40" s="95" t="str">
        <f>IF('Instructor Calculations'!E39="","",'Instructor Calculations'!E39)</f>
        <v/>
      </c>
      <c r="F40" s="95" t="str">
        <f>IF('Instructor Calculations'!F39="","",'Instructor Calculations'!F39)</f>
        <v/>
      </c>
      <c r="G40" s="95" t="str">
        <f>IF('Instructor Calculations'!M39&lt;0.002,"",'Instructor Calculations'!M39)</f>
        <v/>
      </c>
      <c r="H40" s="134" t="str">
        <f>IF('Instructor Calculations'!Y39&lt;0.002,"",'Instructor Calculations'!Y39)</f>
        <v/>
      </c>
      <c r="I40" s="154" t="str">
        <f>'Instructor Calculations'!Y39</f>
        <v/>
      </c>
      <c r="J40" s="135" t="str">
        <f>IF('Instructor Calculations'!X39&lt;0.002,"",'Instructor Calculations'!X39)</f>
        <v/>
      </c>
      <c r="K40" s="8"/>
      <c r="L40" s="8"/>
      <c r="M40" s="2"/>
      <c r="N40" s="2"/>
      <c r="O40" s="8"/>
      <c r="P40" s="8"/>
      <c r="Q40" s="2"/>
      <c r="R40" s="2"/>
      <c r="S40" s="1"/>
    </row>
    <row r="41" spans="1:19" x14ac:dyDescent="0.25">
      <c r="A41" s="93" t="str">
        <f>IF('Instructor Calculations'!A40="","",'Instructor Calculations'!A40)</f>
        <v/>
      </c>
      <c r="B41" s="481" t="str">
        <f>IF('Instructor Calculations'!B40="","",'Instructor Calculations'!B40)</f>
        <v/>
      </c>
      <c r="C41" s="95" t="str">
        <f>IF('Instructor Calculations'!C40="","",'Instructor Calculations'!C40)</f>
        <v/>
      </c>
      <c r="D41" s="95" t="str">
        <f>IF('Instructor Calculations'!D40="","",'Instructor Calculations'!D40)</f>
        <v/>
      </c>
      <c r="E41" s="95" t="str">
        <f>IF('Instructor Calculations'!E40="","",'Instructor Calculations'!E40)</f>
        <v/>
      </c>
      <c r="F41" s="95" t="str">
        <f>IF('Instructor Calculations'!F40="","",'Instructor Calculations'!F40)</f>
        <v/>
      </c>
      <c r="G41" s="95" t="str">
        <f>IF('Instructor Calculations'!M40&lt;0.002,"",'Instructor Calculations'!M40)</f>
        <v/>
      </c>
      <c r="H41" s="134" t="str">
        <f>IF('Instructor Calculations'!Y40&lt;0.002,"",'Instructor Calculations'!Y40)</f>
        <v/>
      </c>
      <c r="I41" s="154" t="str">
        <f>'Instructor Calculations'!Y40</f>
        <v/>
      </c>
      <c r="J41" s="135" t="str">
        <f>IF('Instructor Calculations'!X40&lt;0.002,"",'Instructor Calculations'!X40)</f>
        <v/>
      </c>
      <c r="K41" s="8"/>
      <c r="L41" s="8"/>
      <c r="M41" s="2"/>
      <c r="N41" s="2"/>
      <c r="O41" s="8"/>
      <c r="P41" s="8"/>
      <c r="Q41" s="2"/>
      <c r="R41" s="2"/>
      <c r="S41" s="1"/>
    </row>
    <row r="42" spans="1:19" x14ac:dyDescent="0.25">
      <c r="A42" s="93" t="str">
        <f>IF('Instructor Calculations'!A41="","",'Instructor Calculations'!A41)</f>
        <v/>
      </c>
      <c r="B42" s="481" t="str">
        <f>IF('Instructor Calculations'!B41="","",'Instructor Calculations'!B41)</f>
        <v/>
      </c>
      <c r="C42" s="95" t="str">
        <f>IF('Instructor Calculations'!C41="","",'Instructor Calculations'!C41)</f>
        <v/>
      </c>
      <c r="D42" s="95" t="str">
        <f>IF('Instructor Calculations'!D41="","",'Instructor Calculations'!D41)</f>
        <v/>
      </c>
      <c r="E42" s="95" t="str">
        <f>IF('Instructor Calculations'!E41="","",'Instructor Calculations'!E41)</f>
        <v/>
      </c>
      <c r="F42" s="95" t="str">
        <f>IF('Instructor Calculations'!F41="","",'Instructor Calculations'!F41)</f>
        <v/>
      </c>
      <c r="G42" s="95" t="str">
        <f>IF('Instructor Calculations'!M41&lt;0.002,"",'Instructor Calculations'!M41)</f>
        <v/>
      </c>
      <c r="H42" s="134" t="str">
        <f>IF('Instructor Calculations'!Y41&lt;0.002,"",'Instructor Calculations'!Y41)</f>
        <v/>
      </c>
      <c r="I42" s="154" t="str">
        <f>'Instructor Calculations'!Y41</f>
        <v/>
      </c>
      <c r="J42" s="135" t="str">
        <f>IF('Instructor Calculations'!X41&lt;0.002,"",'Instructor Calculations'!X41)</f>
        <v/>
      </c>
      <c r="K42" s="8"/>
      <c r="L42" s="8"/>
      <c r="M42" s="2"/>
      <c r="N42" s="2"/>
      <c r="O42" s="8"/>
      <c r="P42" s="8"/>
      <c r="Q42" s="2"/>
      <c r="R42" s="2"/>
      <c r="S42" s="1"/>
    </row>
    <row r="43" spans="1:19" x14ac:dyDescent="0.25">
      <c r="A43" s="93" t="str">
        <f>IF('Instructor Calculations'!A42="","",'Instructor Calculations'!A42)</f>
        <v/>
      </c>
      <c r="B43" s="133" t="str">
        <f>IF('Instructor Calculations'!B42="","",'Instructor Calculations'!B42)</f>
        <v/>
      </c>
      <c r="C43" s="95" t="str">
        <f>IF('Instructor Calculations'!C42="","",'Instructor Calculations'!C42)</f>
        <v/>
      </c>
      <c r="D43" s="95" t="str">
        <f>IF('Instructor Calculations'!D42="","",'Instructor Calculations'!D42)</f>
        <v/>
      </c>
      <c r="E43" s="95" t="str">
        <f>IF('Instructor Calculations'!E42="","",'Instructor Calculations'!E42)</f>
        <v/>
      </c>
      <c r="F43" s="95" t="str">
        <f>IF('Instructor Calculations'!F42="","",'Instructor Calculations'!F42)</f>
        <v/>
      </c>
      <c r="G43" s="95" t="str">
        <f>IF('Instructor Calculations'!M42&lt;0.002,"",'Instructor Calculations'!M42)</f>
        <v/>
      </c>
      <c r="H43" s="134" t="str">
        <f>IF('Instructor Calculations'!Y42&lt;0.002,"",'Instructor Calculations'!Y42)</f>
        <v/>
      </c>
      <c r="I43" s="154" t="str">
        <f>'Instructor Calculations'!Y42</f>
        <v/>
      </c>
      <c r="J43" s="135" t="str">
        <f>IF('Instructor Calculations'!X42&lt;0.002,"",'Instructor Calculations'!X42)</f>
        <v/>
      </c>
      <c r="K43" s="8"/>
      <c r="L43" s="8"/>
      <c r="M43" s="2"/>
      <c r="N43" s="2"/>
      <c r="O43" s="8"/>
      <c r="P43" s="8"/>
      <c r="Q43" s="2"/>
      <c r="R43" s="2"/>
      <c r="S43" s="1"/>
    </row>
    <row r="44" spans="1:19" x14ac:dyDescent="0.25">
      <c r="A44" s="93" t="str">
        <f>IF('Instructor Calculations'!A43="","",'Instructor Calculations'!A43)</f>
        <v/>
      </c>
      <c r="B44" s="133" t="str">
        <f>IF('Instructor Calculations'!B43="","",'Instructor Calculations'!B43)</f>
        <v/>
      </c>
      <c r="C44" s="95" t="str">
        <f>IF('Instructor Calculations'!C43="","",'Instructor Calculations'!C43)</f>
        <v/>
      </c>
      <c r="D44" s="95" t="str">
        <f>IF('Instructor Calculations'!D43="","",'Instructor Calculations'!D43)</f>
        <v/>
      </c>
      <c r="E44" s="95" t="str">
        <f>IF('Instructor Calculations'!E43="","",'Instructor Calculations'!E43)</f>
        <v/>
      </c>
      <c r="F44" s="95" t="str">
        <f>IF('Instructor Calculations'!F43="","",'Instructor Calculations'!F43)</f>
        <v/>
      </c>
      <c r="G44" s="95" t="str">
        <f>IF('Instructor Calculations'!M43&lt;0.002,"",'Instructor Calculations'!M43)</f>
        <v/>
      </c>
      <c r="H44" s="134" t="str">
        <f>IF('Instructor Calculations'!Y43&lt;0.002,"",'Instructor Calculations'!Y43)</f>
        <v/>
      </c>
      <c r="I44" s="154" t="str">
        <f>'Instructor Calculations'!Y43</f>
        <v/>
      </c>
      <c r="J44" s="135" t="str">
        <f>IF('Instructor Calculations'!X43&lt;0.002,"",'Instructor Calculations'!X43)</f>
        <v/>
      </c>
    </row>
    <row r="45" spans="1:19" x14ac:dyDescent="0.25">
      <c r="A45" s="93" t="str">
        <f>IF('Instructor Calculations'!A44="","",'Instructor Calculations'!A44)</f>
        <v/>
      </c>
      <c r="B45" s="133" t="str">
        <f>IF('Instructor Calculations'!B44="","",'Instructor Calculations'!B44)</f>
        <v/>
      </c>
      <c r="C45" s="95" t="str">
        <f>IF('Instructor Calculations'!C44="","",'Instructor Calculations'!C44)</f>
        <v/>
      </c>
      <c r="D45" s="95" t="str">
        <f>IF('Instructor Calculations'!D44="","",'Instructor Calculations'!D44)</f>
        <v/>
      </c>
      <c r="E45" s="95" t="str">
        <f>IF('Instructor Calculations'!E44="","",'Instructor Calculations'!E44)</f>
        <v/>
      </c>
      <c r="F45" s="95" t="str">
        <f>IF('Instructor Calculations'!F44="","",'Instructor Calculations'!F44)</f>
        <v/>
      </c>
      <c r="G45" s="95" t="str">
        <f>IF('Instructor Calculations'!M44&lt;0.002,"",'Instructor Calculations'!M44)</f>
        <v/>
      </c>
      <c r="H45" s="134" t="str">
        <f>IF('Instructor Calculations'!Y44&lt;0.002,"",'Instructor Calculations'!Y44)</f>
        <v/>
      </c>
      <c r="I45" s="154" t="str">
        <f>'Instructor Calculations'!Y44</f>
        <v/>
      </c>
      <c r="J45" s="135" t="str">
        <f>IF('Instructor Calculations'!X44&lt;0.002,"",'Instructor Calculations'!X44)</f>
        <v/>
      </c>
    </row>
    <row r="46" spans="1:19" x14ac:dyDescent="0.25">
      <c r="A46" s="93" t="str">
        <f>IF('Instructor Calculations'!A45="","",'Instructor Calculations'!A45)</f>
        <v/>
      </c>
      <c r="B46" s="133" t="str">
        <f>IF('Instructor Calculations'!B45="","",'Instructor Calculations'!B45)</f>
        <v/>
      </c>
      <c r="C46" s="95" t="str">
        <f>IF('Instructor Calculations'!C45="","",'Instructor Calculations'!C45)</f>
        <v/>
      </c>
      <c r="D46" s="95" t="str">
        <f>IF('Instructor Calculations'!D45="","",'Instructor Calculations'!D45)</f>
        <v/>
      </c>
      <c r="E46" s="95" t="str">
        <f>IF('Instructor Calculations'!E45="","",'Instructor Calculations'!E45)</f>
        <v/>
      </c>
      <c r="F46" s="95" t="str">
        <f>IF('Instructor Calculations'!F45="","",'Instructor Calculations'!F45)</f>
        <v/>
      </c>
      <c r="G46" s="95" t="str">
        <f>IF('Instructor Calculations'!M45&lt;0.002,"",'Instructor Calculations'!M45)</f>
        <v/>
      </c>
      <c r="H46" s="134" t="str">
        <f>IF('Instructor Calculations'!Y45&lt;0.002,"",'Instructor Calculations'!Y45)</f>
        <v/>
      </c>
      <c r="I46" s="154" t="str">
        <f>'Instructor Calculations'!Y45</f>
        <v/>
      </c>
      <c r="J46" s="135" t="str">
        <f>IF('Instructor Calculations'!X45&lt;0.002,"",'Instructor Calculations'!X45)</f>
        <v/>
      </c>
    </row>
    <row r="47" spans="1:19" x14ac:dyDescent="0.25">
      <c r="A47" s="93" t="str">
        <f>IF('Instructor Calculations'!A46="","",'Instructor Calculations'!A46)</f>
        <v/>
      </c>
      <c r="B47" s="133" t="str">
        <f>IF('Instructor Calculations'!B46="","",'Instructor Calculations'!B46)</f>
        <v/>
      </c>
      <c r="C47" s="95" t="str">
        <f>IF('Instructor Calculations'!C46="","",'Instructor Calculations'!C46)</f>
        <v/>
      </c>
      <c r="D47" s="95" t="str">
        <f>IF('Instructor Calculations'!D46="","",'Instructor Calculations'!D46)</f>
        <v/>
      </c>
      <c r="E47" s="95" t="str">
        <f>IF('Instructor Calculations'!E46="","",'Instructor Calculations'!E46)</f>
        <v/>
      </c>
      <c r="F47" s="95" t="str">
        <f>IF('Instructor Calculations'!F46="","",'Instructor Calculations'!F46)</f>
        <v/>
      </c>
      <c r="G47" s="95" t="str">
        <f>IF('Instructor Calculations'!M46&lt;0.002,"",'Instructor Calculations'!M46)</f>
        <v/>
      </c>
      <c r="H47" s="134" t="str">
        <f>IF('Instructor Calculations'!Y46&lt;0.002,"",'Instructor Calculations'!Y46)</f>
        <v/>
      </c>
      <c r="I47" s="154" t="str">
        <f>'Instructor Calculations'!Y46</f>
        <v/>
      </c>
      <c r="J47" s="135" t="str">
        <f>IF('Instructor Calculations'!X46&lt;0.002,"",'Instructor Calculations'!X46)</f>
        <v/>
      </c>
    </row>
    <row r="48" spans="1:19" x14ac:dyDescent="0.25">
      <c r="A48" s="93" t="str">
        <f>IF('Instructor Calculations'!A47="","",'Instructor Calculations'!A47)</f>
        <v/>
      </c>
      <c r="B48" s="133" t="str">
        <f>IF('Instructor Calculations'!B47="","",'Instructor Calculations'!B47)</f>
        <v/>
      </c>
      <c r="C48" s="95" t="str">
        <f>IF('Instructor Calculations'!C47="","",'Instructor Calculations'!C47)</f>
        <v/>
      </c>
      <c r="D48" s="95" t="str">
        <f>IF('Instructor Calculations'!D47="","",'Instructor Calculations'!D47)</f>
        <v/>
      </c>
      <c r="E48" s="95" t="str">
        <f>IF('Instructor Calculations'!E47="","",'Instructor Calculations'!E47)</f>
        <v/>
      </c>
      <c r="F48" s="95" t="str">
        <f>IF('Instructor Calculations'!F47="","",'Instructor Calculations'!F47)</f>
        <v/>
      </c>
      <c r="G48" s="95" t="str">
        <f>IF('Instructor Calculations'!M47&lt;0.002,"",'Instructor Calculations'!M47)</f>
        <v/>
      </c>
      <c r="H48" s="134" t="str">
        <f>IF('Instructor Calculations'!Y47&lt;0.002,"",'Instructor Calculations'!Y47)</f>
        <v/>
      </c>
      <c r="I48" s="154" t="str">
        <f>'Instructor Calculations'!Y47</f>
        <v/>
      </c>
      <c r="J48" s="135" t="str">
        <f>IF('Instructor Calculations'!X47&lt;0.002,"",'Instructor Calculations'!X47)</f>
        <v/>
      </c>
    </row>
    <row r="49" spans="1:10" x14ac:dyDescent="0.25">
      <c r="A49" s="93" t="str">
        <f>IF('Instructor Calculations'!A48="","",'Instructor Calculations'!A48)</f>
        <v/>
      </c>
      <c r="B49" s="133" t="str">
        <f>IF('Instructor Calculations'!B48="","",'Instructor Calculations'!B48)</f>
        <v/>
      </c>
      <c r="C49" s="95" t="str">
        <f>IF('Instructor Calculations'!C48="","",'Instructor Calculations'!C48)</f>
        <v/>
      </c>
      <c r="D49" s="95" t="str">
        <f>IF('Instructor Calculations'!D48="","",'Instructor Calculations'!D48)</f>
        <v/>
      </c>
      <c r="E49" s="95" t="str">
        <f>IF('Instructor Calculations'!E48="","",'Instructor Calculations'!E48)</f>
        <v/>
      </c>
      <c r="F49" s="95" t="str">
        <f>IF('Instructor Calculations'!F48="","",'Instructor Calculations'!F48)</f>
        <v/>
      </c>
      <c r="G49" s="95" t="str">
        <f>IF('Instructor Calculations'!M48&lt;0.002,"",'Instructor Calculations'!M48)</f>
        <v/>
      </c>
      <c r="H49" s="134" t="str">
        <f>IF('Instructor Calculations'!Y48&lt;0.002,"",'Instructor Calculations'!Y48)</f>
        <v/>
      </c>
      <c r="I49" s="154" t="str">
        <f>'Instructor Calculations'!Y48</f>
        <v/>
      </c>
      <c r="J49" s="135" t="str">
        <f>IF('Instructor Calculations'!X48&lt;0.002,"",'Instructor Calculations'!X48)</f>
        <v/>
      </c>
    </row>
    <row r="50" spans="1:10" x14ac:dyDescent="0.25">
      <c r="A50" s="93" t="str">
        <f>IF('Instructor Calculations'!A49="","",'Instructor Calculations'!A49)</f>
        <v/>
      </c>
      <c r="B50" s="133" t="str">
        <f>IF('Instructor Calculations'!B49="","",'Instructor Calculations'!B49)</f>
        <v/>
      </c>
      <c r="C50" s="95" t="str">
        <f>IF('Instructor Calculations'!C49="","",'Instructor Calculations'!C49)</f>
        <v/>
      </c>
      <c r="D50" s="95" t="str">
        <f>IF('Instructor Calculations'!D49="","",'Instructor Calculations'!D49)</f>
        <v/>
      </c>
      <c r="E50" s="95" t="str">
        <f>IF('Instructor Calculations'!E49="","",'Instructor Calculations'!E49)</f>
        <v/>
      </c>
      <c r="F50" s="95" t="str">
        <f>IF('Instructor Calculations'!F49="","",'Instructor Calculations'!F49)</f>
        <v/>
      </c>
      <c r="G50" s="95" t="str">
        <f>IF('Instructor Calculations'!M49&lt;0.002,"",'Instructor Calculations'!M49)</f>
        <v/>
      </c>
      <c r="H50" s="134" t="str">
        <f>IF('Instructor Calculations'!Y49&lt;0.002,"",'Instructor Calculations'!Y49)</f>
        <v/>
      </c>
      <c r="I50" s="154" t="str">
        <f>'Instructor Calculations'!Y49</f>
        <v/>
      </c>
      <c r="J50" s="135" t="str">
        <f>IF('Instructor Calculations'!X49&lt;0.002,"",'Instructor Calculations'!X49)</f>
        <v/>
      </c>
    </row>
    <row r="51" spans="1:10" x14ac:dyDescent="0.25">
      <c r="A51" s="93" t="str">
        <f>IF('Instructor Calculations'!A50="","",'Instructor Calculations'!A50)</f>
        <v/>
      </c>
      <c r="B51" s="133" t="str">
        <f>IF('Instructor Calculations'!B50="","",'Instructor Calculations'!B50)</f>
        <v/>
      </c>
      <c r="C51" s="95" t="str">
        <f>IF('Instructor Calculations'!C50="","",'Instructor Calculations'!C50)</f>
        <v/>
      </c>
      <c r="D51" s="95" t="str">
        <f>IF('Instructor Calculations'!D50="","",'Instructor Calculations'!D50)</f>
        <v/>
      </c>
      <c r="E51" s="95" t="str">
        <f>IF('Instructor Calculations'!E50="","",'Instructor Calculations'!E50)</f>
        <v/>
      </c>
      <c r="F51" s="95" t="str">
        <f>IF('Instructor Calculations'!F50="","",'Instructor Calculations'!F50)</f>
        <v/>
      </c>
      <c r="G51" s="95" t="str">
        <f>IF('Instructor Calculations'!M50&lt;0.002,"",'Instructor Calculations'!M50)</f>
        <v/>
      </c>
      <c r="H51" s="134" t="str">
        <f>IF('Instructor Calculations'!Y50&lt;0.002,"",'Instructor Calculations'!Y50)</f>
        <v/>
      </c>
      <c r="I51" s="154" t="str">
        <f>'Instructor Calculations'!Y50</f>
        <v/>
      </c>
      <c r="J51" s="135" t="str">
        <f>IF('Instructor Calculations'!X50&lt;0.002,"",'Instructor Calculations'!X50)</f>
        <v/>
      </c>
    </row>
    <row r="52" spans="1:10" x14ac:dyDescent="0.25">
      <c r="A52" s="93" t="str">
        <f>IF('Instructor Calculations'!A51="","",'Instructor Calculations'!A51)</f>
        <v/>
      </c>
      <c r="B52" s="133" t="str">
        <f>IF('Instructor Calculations'!B51="","",'Instructor Calculations'!B51)</f>
        <v/>
      </c>
      <c r="C52" s="95" t="str">
        <f>IF('Instructor Calculations'!C51="","",'Instructor Calculations'!C51)</f>
        <v/>
      </c>
      <c r="D52" s="95" t="str">
        <f>IF('Instructor Calculations'!D51="","",'Instructor Calculations'!D51)</f>
        <v/>
      </c>
      <c r="E52" s="95" t="str">
        <f>IF('Instructor Calculations'!E51="","",'Instructor Calculations'!E51)</f>
        <v/>
      </c>
      <c r="F52" s="95" t="str">
        <f>IF('Instructor Calculations'!F51="","",'Instructor Calculations'!F51)</f>
        <v/>
      </c>
      <c r="G52" s="95" t="str">
        <f>IF('Instructor Calculations'!M51&lt;0.002,"",'Instructor Calculations'!M51)</f>
        <v/>
      </c>
      <c r="H52" s="134" t="str">
        <f>IF('Instructor Calculations'!Y51&lt;0.002,"",'Instructor Calculations'!Y51)</f>
        <v/>
      </c>
      <c r="I52" s="154" t="str">
        <f>'Instructor Calculations'!Y51</f>
        <v/>
      </c>
      <c r="J52" s="135" t="str">
        <f>IF('Instructor Calculations'!X51&lt;0.002,"",'Instructor Calculations'!X51)</f>
        <v/>
      </c>
    </row>
    <row r="53" spans="1:10" x14ac:dyDescent="0.25">
      <c r="A53" s="93" t="str">
        <f>IF('Instructor Calculations'!A52="","",'Instructor Calculations'!A52)</f>
        <v/>
      </c>
      <c r="B53" s="133" t="str">
        <f>IF('Instructor Calculations'!B52="","",'Instructor Calculations'!B52)</f>
        <v/>
      </c>
      <c r="C53" s="95" t="str">
        <f>IF('Instructor Calculations'!C52="","",'Instructor Calculations'!C52)</f>
        <v/>
      </c>
      <c r="D53" s="95" t="str">
        <f>IF('Instructor Calculations'!D52="","",'Instructor Calculations'!D52)</f>
        <v/>
      </c>
      <c r="E53" s="95" t="str">
        <f>IF('Instructor Calculations'!E52="","",'Instructor Calculations'!E52)</f>
        <v/>
      </c>
      <c r="F53" s="95" t="str">
        <f>IF('Instructor Calculations'!F52="","",'Instructor Calculations'!F52)</f>
        <v/>
      </c>
      <c r="G53" s="95" t="str">
        <f>IF('Instructor Calculations'!M52&lt;0.002,"",'Instructor Calculations'!M52)</f>
        <v/>
      </c>
      <c r="H53" s="134" t="str">
        <f>IF('Instructor Calculations'!Y52&lt;0.002,"",'Instructor Calculations'!Y52)</f>
        <v/>
      </c>
      <c r="I53" s="154" t="str">
        <f>'Instructor Calculations'!Y52</f>
        <v/>
      </c>
      <c r="J53" s="135" t="str">
        <f>IF('Instructor Calculations'!X52&lt;0.002,"",'Instructor Calculations'!X52)</f>
        <v/>
      </c>
    </row>
    <row r="54" spans="1:10" x14ac:dyDescent="0.25">
      <c r="A54" s="93" t="str">
        <f>IF('Instructor Calculations'!A53="","",'Instructor Calculations'!A53)</f>
        <v/>
      </c>
      <c r="B54" s="133" t="str">
        <f>IF('Instructor Calculations'!B53="","",'Instructor Calculations'!B53)</f>
        <v/>
      </c>
      <c r="C54" s="95" t="str">
        <f>IF('Instructor Calculations'!C53="","",'Instructor Calculations'!C53)</f>
        <v/>
      </c>
      <c r="D54" s="95" t="str">
        <f>IF('Instructor Calculations'!D53="","",'Instructor Calculations'!D53)</f>
        <v/>
      </c>
      <c r="E54" s="95" t="str">
        <f>IF('Instructor Calculations'!E53="","",'Instructor Calculations'!E53)</f>
        <v/>
      </c>
      <c r="F54" s="95" t="str">
        <f>IF('Instructor Calculations'!F53="","",'Instructor Calculations'!F53)</f>
        <v/>
      </c>
      <c r="G54" s="95" t="str">
        <f>IF('Instructor Calculations'!M53&lt;0.002,"",'Instructor Calculations'!M53)</f>
        <v/>
      </c>
      <c r="H54" s="134" t="str">
        <f>IF('Instructor Calculations'!Y53&lt;0.002,"",'Instructor Calculations'!Y53)</f>
        <v/>
      </c>
      <c r="I54" s="154" t="str">
        <f>'Instructor Calculations'!Y53</f>
        <v/>
      </c>
      <c r="J54" s="135" t="str">
        <f>IF('Instructor Calculations'!X53&lt;0.002,"",'Instructor Calculations'!X53)</f>
        <v/>
      </c>
    </row>
    <row r="55" spans="1:10" x14ac:dyDescent="0.25">
      <c r="A55" s="93" t="str">
        <f>IF('Instructor Calculations'!A54="","",'Instructor Calculations'!A54)</f>
        <v/>
      </c>
      <c r="B55" s="133" t="str">
        <f>IF('Instructor Calculations'!B54="","",'Instructor Calculations'!B54)</f>
        <v/>
      </c>
      <c r="C55" s="95" t="str">
        <f>IF('Instructor Calculations'!C54="","",'Instructor Calculations'!C54)</f>
        <v/>
      </c>
      <c r="D55" s="95" t="str">
        <f>IF('Instructor Calculations'!D54="","",'Instructor Calculations'!D54)</f>
        <v/>
      </c>
      <c r="E55" s="95" t="str">
        <f>IF('Instructor Calculations'!E54="","",'Instructor Calculations'!E54)</f>
        <v/>
      </c>
      <c r="F55" s="95" t="str">
        <f>IF('Instructor Calculations'!F54="","",'Instructor Calculations'!F54)</f>
        <v/>
      </c>
      <c r="G55" s="95" t="str">
        <f>IF('Instructor Calculations'!M54&lt;0.002,"",'Instructor Calculations'!M54)</f>
        <v/>
      </c>
      <c r="H55" s="134" t="str">
        <f>IF('Instructor Calculations'!Y54&lt;0.002,"",'Instructor Calculations'!Y54)</f>
        <v/>
      </c>
      <c r="I55" s="154" t="str">
        <f>'Instructor Calculations'!Y54</f>
        <v/>
      </c>
      <c r="J55" s="135" t="str">
        <f>IF('Instructor Calculations'!X54&lt;0.002,"",'Instructor Calculations'!X54)</f>
        <v/>
      </c>
    </row>
    <row r="56" spans="1:10" x14ac:dyDescent="0.25">
      <c r="B56" s="42"/>
    </row>
    <row r="57" spans="1:10" x14ac:dyDescent="0.25">
      <c r="B57" s="5"/>
    </row>
    <row r="58" spans="1:10" x14ac:dyDescent="0.25">
      <c r="B58" s="5"/>
    </row>
  </sheetData>
  <sheetProtection sheet="1" objects="1" scenarios="1"/>
  <mergeCells count="1">
    <mergeCell ref="K5:O5"/>
  </mergeCells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50"/>
  </sheetPr>
  <dimension ref="A1:Y58"/>
  <sheetViews>
    <sheetView topLeftCell="A11" zoomScale="90" zoomScaleNormal="90" zoomScalePageLayoutView="130" workbookViewId="0">
      <selection activeCell="O17" sqref="O17"/>
    </sheetView>
  </sheetViews>
  <sheetFormatPr defaultColWidth="8.85546875" defaultRowHeight="15" x14ac:dyDescent="0.25"/>
  <cols>
    <col min="1" max="1" width="6.42578125" customWidth="1"/>
    <col min="3" max="3" width="9.28515625" customWidth="1"/>
    <col min="4" max="10" width="6.7109375" customWidth="1"/>
    <col min="11" max="11" width="5.7109375" customWidth="1"/>
    <col min="12" max="12" width="6.7109375" customWidth="1"/>
    <col min="13" max="13" width="4.5703125" customWidth="1"/>
    <col min="14" max="14" width="6.7109375" customWidth="1"/>
    <col min="16" max="16" width="8.5703125" customWidth="1"/>
    <col min="17" max="25" width="6.7109375" customWidth="1"/>
  </cols>
  <sheetData>
    <row r="1" spans="1:25" ht="15.75" hidden="1" thickBot="1" x14ac:dyDescent="0.3">
      <c r="V1" s="183"/>
      <c r="W1" s="183"/>
      <c r="X1" s="183"/>
      <c r="Y1" s="183"/>
    </row>
    <row r="2" spans="1:25" ht="19.5" thickTop="1" x14ac:dyDescent="0.3">
      <c r="A2" s="287" t="str">
        <f>'EMA StartHere'!A1</f>
        <v xml:space="preserve">Earned Mark Analysis </v>
      </c>
      <c r="B2" s="288"/>
      <c r="C2" s="288"/>
      <c r="D2" s="288" t="str">
        <f>'Instructor Course Information'!J1</f>
        <v>WDS:511</v>
      </c>
      <c r="E2" s="288"/>
      <c r="F2" s="249" t="str">
        <f>'EMA StartHere'!H1</f>
        <v>Fall 2019</v>
      </c>
      <c r="G2" s="249"/>
      <c r="H2" s="249"/>
      <c r="I2" s="249"/>
      <c r="J2" s="516">
        <f>CurrentDate()</f>
        <v>43731</v>
      </c>
      <c r="K2" s="517"/>
      <c r="L2" s="250"/>
      <c r="N2" s="289" t="s">
        <v>5</v>
      </c>
      <c r="O2" s="290"/>
      <c r="P2" s="220"/>
      <c r="Q2" s="220"/>
      <c r="R2" s="220" t="s">
        <v>132</v>
      </c>
      <c r="S2" s="518">
        <f>IF('Instructor Course Information'!B2="","NOT THIS TERM",'Instructor Course Information'!B2)</f>
        <v>43740</v>
      </c>
      <c r="T2" s="486"/>
      <c r="U2" s="220"/>
      <c r="V2" s="192"/>
      <c r="W2" s="192"/>
      <c r="X2" s="192"/>
      <c r="Y2" s="193"/>
    </row>
    <row r="3" spans="1:25" ht="18.75" x14ac:dyDescent="0.3">
      <c r="A3" s="251" t="str">
        <f>'EMA StartHere'!A21</f>
        <v>STUDENT NAME</v>
      </c>
      <c r="B3" s="247"/>
      <c r="C3" s="247" t="str">
        <f>'EMA StartHere'!F21</f>
        <v>Aidan Johnson</v>
      </c>
      <c r="D3" s="247"/>
      <c r="E3" s="247"/>
      <c r="F3" s="247"/>
      <c r="G3" s="247"/>
      <c r="H3" s="247"/>
      <c r="I3" s="247"/>
      <c r="J3" s="247"/>
      <c r="K3" s="247"/>
      <c r="L3" s="252"/>
      <c r="N3" s="291" t="str">
        <f>'Instructor Course Information'!J1</f>
        <v>WDS:511</v>
      </c>
      <c r="O3" s="292"/>
      <c r="P3" s="194"/>
      <c r="Q3" s="194"/>
      <c r="R3" s="194"/>
      <c r="S3" s="194"/>
      <c r="T3" s="194"/>
      <c r="U3" s="194"/>
      <c r="V3" s="194"/>
      <c r="W3" s="194"/>
      <c r="X3" s="194"/>
      <c r="Y3" s="195"/>
    </row>
    <row r="4" spans="1:25" ht="15.75" thickBot="1" x14ac:dyDescent="0.3">
      <c r="A4" s="251" t="str">
        <f>'Instructor Calculations'!F4</f>
        <v>Predicted Mark</v>
      </c>
      <c r="B4" s="247"/>
      <c r="C4" s="247"/>
      <c r="D4" s="325">
        <f>'Instructor Calculations'!K55</f>
        <v>81.099999999999994</v>
      </c>
      <c r="E4" s="326" t="str">
        <f>'Instructor Calculations'!K56</f>
        <v>B+/A-/A</v>
      </c>
      <c r="F4" s="326"/>
      <c r="G4" s="247" t="str">
        <f>'Instructor Calculations'!P4</f>
        <v>Planned GPA</v>
      </c>
      <c r="H4" s="247"/>
      <c r="I4" s="325">
        <f>'Instructor Calculations'!O55</f>
        <v>84.57</v>
      </c>
      <c r="J4" s="326" t="str">
        <f>'Instructor Calculations'!O56</f>
        <v>B+/A-/A</v>
      </c>
      <c r="K4" s="247"/>
      <c r="L4" s="252"/>
      <c r="N4" s="221"/>
      <c r="O4" s="194"/>
      <c r="P4" s="194"/>
      <c r="Q4" s="194"/>
      <c r="R4" s="194"/>
      <c r="S4" s="194"/>
      <c r="T4" s="194"/>
      <c r="U4" s="194"/>
      <c r="V4" s="328" t="str">
        <f>'EMA StartHere'!$G$33</f>
        <v>C:\Users\aidan\OneDrive - University of Calgary\ENCM511_Fall2019</v>
      </c>
      <c r="W4" s="194" t="s">
        <v>174</v>
      </c>
      <c r="X4" s="167"/>
      <c r="Y4" s="167"/>
    </row>
    <row r="5" spans="1:25" ht="15.75" thickTop="1" x14ac:dyDescent="0.25">
      <c r="A5" s="251" t="str">
        <f>'Instructor Calculations'!T4</f>
        <v>Tracked  (To-date) GPA</v>
      </c>
      <c r="B5" s="247"/>
      <c r="C5" s="247"/>
      <c r="D5" s="325">
        <f>'Instructor Calculations'!S55</f>
        <v>92.85090000000001</v>
      </c>
      <c r="E5" s="326" t="str">
        <f>'Instructor Calculations'!S56</f>
        <v>A+</v>
      </c>
      <c r="F5" s="326"/>
      <c r="G5" s="247" t="str">
        <f>'Instructor Calculations'!X4</f>
        <v>Desired GPA</v>
      </c>
      <c r="H5" s="247"/>
      <c r="I5" s="325">
        <f>'Instructor Calculations'!W55</f>
        <v>92.85090000000001</v>
      </c>
      <c r="J5" s="326" t="str">
        <f>'Instructor Calculations'!W56</f>
        <v>A+</v>
      </c>
      <c r="K5" s="247"/>
      <c r="L5" s="252"/>
      <c r="N5" s="215" t="s">
        <v>235</v>
      </c>
      <c r="O5" s="163"/>
      <c r="P5" s="163"/>
      <c r="Q5" s="163"/>
      <c r="R5" s="163"/>
      <c r="S5" s="163"/>
      <c r="T5" s="163"/>
      <c r="U5" s="163"/>
      <c r="V5" s="163"/>
      <c r="W5" s="327"/>
      <c r="X5" s="163"/>
      <c r="Y5" s="164"/>
    </row>
    <row r="6" spans="1:25" x14ac:dyDescent="0.25">
      <c r="A6" s="251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52"/>
      <c r="N6" s="165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7"/>
    </row>
    <row r="7" spans="1:25" ht="15.75" thickBot="1" x14ac:dyDescent="0.3">
      <c r="A7" s="253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5"/>
      <c r="N7" s="165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7"/>
    </row>
    <row r="8" spans="1:25" ht="15.75" thickTop="1" x14ac:dyDescent="0.25">
      <c r="A8" s="256" t="s">
        <v>183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8"/>
      <c r="N8" s="165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7"/>
    </row>
    <row r="9" spans="1:25" x14ac:dyDescent="0.25">
      <c r="A9" s="259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60"/>
      <c r="N9" s="165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7"/>
    </row>
    <row r="10" spans="1:25" x14ac:dyDescent="0.25">
      <c r="A10" s="259"/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60"/>
      <c r="N10" s="165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7"/>
    </row>
    <row r="11" spans="1:25" ht="15.75" thickBot="1" x14ac:dyDescent="0.3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3"/>
      <c r="N11" s="168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70"/>
    </row>
    <row r="12" spans="1:25" ht="16.5" thickTop="1" thickBot="1" x14ac:dyDescent="0.3">
      <c r="V12" s="183"/>
      <c r="W12" s="183"/>
      <c r="X12" s="183"/>
      <c r="Y12" s="183"/>
    </row>
    <row r="13" spans="1:25" ht="19.5" thickTop="1" x14ac:dyDescent="0.3">
      <c r="A13" s="293" t="s">
        <v>124</v>
      </c>
      <c r="B13" s="294"/>
      <c r="C13" s="294"/>
      <c r="D13" s="222"/>
      <c r="E13" s="223" t="s">
        <v>132</v>
      </c>
      <c r="F13" s="519">
        <f>IF('Instructor Course Information'!B3="","NOT THIS TERM",'Instructor Course Information'!B3)</f>
        <v>43753</v>
      </c>
      <c r="G13" s="486"/>
      <c r="H13" s="222"/>
      <c r="I13" s="222"/>
      <c r="J13" s="222"/>
      <c r="K13" s="222"/>
      <c r="L13" s="224"/>
      <c r="N13" s="322" t="s">
        <v>129</v>
      </c>
      <c r="O13" s="297"/>
      <c r="P13" s="297"/>
      <c r="Q13" s="188"/>
      <c r="R13" s="229" t="s">
        <v>132</v>
      </c>
      <c r="S13" s="515">
        <f>IF('Instructor Course Information'!B7="","NOT THIS TERM",'Instructor Course Information'!B7)</f>
        <v>43771</v>
      </c>
      <c r="T13" s="486"/>
      <c r="U13" s="515"/>
      <c r="V13" s="486"/>
      <c r="W13" s="188"/>
      <c r="X13" s="188"/>
      <c r="Y13" s="189"/>
    </row>
    <row r="14" spans="1:25" ht="18.75" x14ac:dyDescent="0.3">
      <c r="A14" s="295" t="str">
        <f>'Instructor Course Information'!J1</f>
        <v>WDS:511</v>
      </c>
      <c r="B14" s="296"/>
      <c r="C14" s="296"/>
      <c r="D14" s="225"/>
      <c r="E14" s="225"/>
      <c r="F14" s="225"/>
      <c r="G14" s="225"/>
      <c r="H14" s="225"/>
      <c r="I14" s="225"/>
      <c r="J14" s="225"/>
      <c r="K14" s="225"/>
      <c r="L14" s="226"/>
      <c r="N14" s="298" t="str">
        <f>'Instructor Course Information'!J1</f>
        <v>WDS:511</v>
      </c>
      <c r="O14" s="299"/>
      <c r="P14" s="299"/>
      <c r="Q14" s="190"/>
      <c r="R14" s="190"/>
      <c r="S14" s="190"/>
      <c r="T14" s="190"/>
      <c r="U14" s="190"/>
      <c r="V14" s="190"/>
      <c r="W14" s="190"/>
      <c r="X14" s="190"/>
      <c r="Y14" s="191"/>
    </row>
    <row r="15" spans="1:25" ht="15.75" thickBot="1" x14ac:dyDescent="0.3">
      <c r="A15" s="242"/>
      <c r="B15" s="227"/>
      <c r="C15" s="227"/>
      <c r="D15" s="227"/>
      <c r="E15" s="227"/>
      <c r="F15" s="227"/>
      <c r="G15" s="227"/>
      <c r="H15" s="227"/>
      <c r="I15" s="333" t="str">
        <f>'EMA StartHere'!$G$33</f>
        <v>C:\Users\aidan\OneDrive - University of Calgary\ENCM511_Fall2019</v>
      </c>
      <c r="J15" s="331" t="s">
        <v>176</v>
      </c>
      <c r="K15" s="227"/>
      <c r="L15" s="228"/>
      <c r="N15" s="243"/>
      <c r="O15" s="216"/>
      <c r="P15" s="216"/>
      <c r="Q15" s="216"/>
      <c r="R15" s="216"/>
      <c r="S15" s="216"/>
      <c r="T15" s="216"/>
      <c r="U15" s="216"/>
      <c r="V15" s="330" t="str">
        <f>'EMA StartHere'!$G$33</f>
        <v>C:\Users\aidan\OneDrive - University of Calgary\ENCM511_Fall2019</v>
      </c>
      <c r="W15" s="329" t="s">
        <v>175</v>
      </c>
      <c r="X15" s="216"/>
      <c r="Y15" s="217"/>
    </row>
    <row r="16" spans="1:25" ht="15.75" thickTop="1" x14ac:dyDescent="0.25">
      <c r="A16" s="342" t="s">
        <v>183</v>
      </c>
      <c r="B16" s="172"/>
      <c r="C16" s="172"/>
      <c r="D16" s="172"/>
      <c r="E16" s="172"/>
      <c r="F16" s="172"/>
      <c r="G16" s="172"/>
      <c r="H16" s="172"/>
      <c r="I16" s="332"/>
      <c r="J16" s="172"/>
      <c r="K16" s="172"/>
      <c r="L16" s="173"/>
      <c r="N16" s="343" t="s">
        <v>183</v>
      </c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6"/>
    </row>
    <row r="17" spans="1:25" x14ac:dyDescent="0.25">
      <c r="A17" s="171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3"/>
      <c r="N17" s="174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6"/>
    </row>
    <row r="18" spans="1:25" x14ac:dyDescent="0.25">
      <c r="A18" s="171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3"/>
      <c r="N18" s="174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6"/>
    </row>
    <row r="19" spans="1:25" x14ac:dyDescent="0.25">
      <c r="A19" s="171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3"/>
      <c r="N19" s="174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6"/>
    </row>
    <row r="20" spans="1:25" ht="15.75" thickBot="1" x14ac:dyDescent="0.3">
      <c r="A20" s="171"/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3"/>
      <c r="N20" s="174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6"/>
    </row>
    <row r="21" spans="1:25" ht="15.75" thickTop="1" x14ac:dyDescent="0.25">
      <c r="A21" s="240"/>
      <c r="B21" s="239" t="s">
        <v>153</v>
      </c>
      <c r="C21" s="241"/>
      <c r="D21" s="206" t="s">
        <v>135</v>
      </c>
      <c r="E21" s="196" t="s">
        <v>136</v>
      </c>
      <c r="F21" s="196" t="s">
        <v>137</v>
      </c>
      <c r="G21" s="196" t="s">
        <v>138</v>
      </c>
      <c r="H21" s="196" t="s">
        <v>139</v>
      </c>
      <c r="I21" s="196" t="s">
        <v>140</v>
      </c>
      <c r="J21" s="196" t="s">
        <v>141</v>
      </c>
      <c r="K21" s="196" t="s">
        <v>142</v>
      </c>
      <c r="L21" s="197" t="s">
        <v>143</v>
      </c>
      <c r="N21" s="240"/>
      <c r="O21" s="239" t="s">
        <v>153</v>
      </c>
      <c r="P21" s="241"/>
      <c r="Q21" s="206" t="s">
        <v>135</v>
      </c>
      <c r="R21" s="196" t="s">
        <v>136</v>
      </c>
      <c r="S21" s="196" t="s">
        <v>137</v>
      </c>
      <c r="T21" s="196" t="s">
        <v>138</v>
      </c>
      <c r="U21" s="196" t="s">
        <v>139</v>
      </c>
      <c r="V21" s="196" t="s">
        <v>140</v>
      </c>
      <c r="W21" s="196" t="s">
        <v>141</v>
      </c>
      <c r="X21" s="196" t="s">
        <v>142</v>
      </c>
      <c r="Y21" s="197" t="s">
        <v>143</v>
      </c>
    </row>
    <row r="22" spans="1:25" ht="15.75" thickBot="1" x14ac:dyDescent="0.3">
      <c r="A22" s="236"/>
      <c r="B22" s="237" t="s">
        <v>154</v>
      </c>
      <c r="C22" s="238"/>
      <c r="D22" s="198"/>
      <c r="E22" s="199"/>
      <c r="F22" s="199"/>
      <c r="G22" s="199"/>
      <c r="H22" s="199"/>
      <c r="I22" s="199"/>
      <c r="J22" s="199"/>
      <c r="K22" s="199"/>
      <c r="L22" s="200"/>
      <c r="N22" s="203"/>
      <c r="O22" s="204" t="s">
        <v>161</v>
      </c>
      <c r="P22" s="205"/>
      <c r="Q22" s="198"/>
      <c r="R22" s="199"/>
      <c r="S22" s="199"/>
      <c r="T22" s="199"/>
      <c r="U22" s="199"/>
      <c r="V22" s="199"/>
      <c r="W22" s="199"/>
      <c r="X22" s="199"/>
      <c r="Y22" s="200"/>
    </row>
    <row r="23" spans="1:25" ht="16.5" thickTop="1" thickBot="1" x14ac:dyDescent="0.3">
      <c r="I23" s="183"/>
      <c r="J23" s="183"/>
      <c r="K23" s="183"/>
      <c r="L23" s="183"/>
      <c r="V23" s="183"/>
      <c r="W23" s="183"/>
      <c r="X23" s="183"/>
      <c r="Y23" s="183"/>
    </row>
    <row r="24" spans="1:25" ht="19.5" thickTop="1" x14ac:dyDescent="0.3">
      <c r="A24" s="303" t="s">
        <v>126</v>
      </c>
      <c r="B24" s="304"/>
      <c r="C24" s="305"/>
      <c r="D24" s="305"/>
      <c r="E24" s="305" t="s">
        <v>132</v>
      </c>
      <c r="F24" s="521">
        <f>IF('Instructor Course Information'!B5="","NOT THIS TERM",'Instructor Course Information'!B5)</f>
        <v>43789</v>
      </c>
      <c r="G24" s="486"/>
      <c r="H24" s="324"/>
      <c r="I24" s="306"/>
      <c r="J24" s="306"/>
      <c r="K24" s="306"/>
      <c r="L24" s="307"/>
      <c r="M24" s="308"/>
      <c r="N24" s="309" t="s">
        <v>131</v>
      </c>
      <c r="O24" s="310"/>
      <c r="P24" s="310"/>
      <c r="Q24" s="310"/>
      <c r="R24" s="311" t="s">
        <v>133</v>
      </c>
      <c r="S24" s="520">
        <f>IF('Instructor Course Information'!B9="","NOT THIS TERM",'Instructor Course Information'!B9)</f>
        <v>43809</v>
      </c>
      <c r="T24" s="486"/>
      <c r="U24" s="323"/>
      <c r="V24" s="184"/>
      <c r="W24" s="184"/>
      <c r="X24" s="184"/>
      <c r="Y24" s="185"/>
    </row>
    <row r="25" spans="1:25" ht="18.75" x14ac:dyDescent="0.3">
      <c r="A25" s="312" t="str">
        <f>'Instructor Course Information'!J1</f>
        <v>WDS:511</v>
      </c>
      <c r="B25" s="313"/>
      <c r="C25" s="314"/>
      <c r="D25" s="314"/>
      <c r="E25" s="314"/>
      <c r="F25" s="314"/>
      <c r="G25" s="314"/>
      <c r="H25" s="314"/>
      <c r="I25" s="314"/>
      <c r="J25" s="314"/>
      <c r="K25" s="314"/>
      <c r="L25" s="315"/>
      <c r="M25" s="308"/>
      <c r="N25" s="316" t="str">
        <f>'Instructor Course Information'!J1</f>
        <v>WDS:511</v>
      </c>
      <c r="O25" s="317"/>
      <c r="P25" s="317"/>
      <c r="Q25" s="317"/>
      <c r="R25" s="317"/>
      <c r="S25" s="317"/>
      <c r="T25" s="317"/>
      <c r="U25" s="317"/>
      <c r="V25" s="186"/>
      <c r="W25" s="186"/>
      <c r="X25" s="186"/>
      <c r="Y25" s="187"/>
    </row>
    <row r="26" spans="1:25" ht="15.75" thickBot="1" x14ac:dyDescent="0.3">
      <c r="A26" s="318"/>
      <c r="B26" s="319"/>
      <c r="C26" s="319"/>
      <c r="D26" s="319"/>
      <c r="E26" s="319"/>
      <c r="F26" s="319"/>
      <c r="G26" s="319"/>
      <c r="H26" s="319"/>
      <c r="I26" s="334" t="str">
        <f>'EMA StartHere'!$G$33</f>
        <v>C:\Users\aidan\OneDrive - University of Calgary\ENCM511_Fall2019</v>
      </c>
      <c r="J26" s="319" t="s">
        <v>177</v>
      </c>
      <c r="K26" s="319"/>
      <c r="L26" s="319"/>
      <c r="M26" s="308"/>
      <c r="N26" s="320"/>
      <c r="O26" s="321"/>
      <c r="P26" s="321"/>
      <c r="Q26" s="321"/>
      <c r="R26" s="321"/>
      <c r="S26" s="321"/>
      <c r="T26" s="321"/>
      <c r="U26" s="321"/>
      <c r="V26" s="336" t="str">
        <f>'EMA StartHere'!$G$33</f>
        <v>C:\Users\aidan\OneDrive - University of Calgary\ENCM511_Fall2019</v>
      </c>
      <c r="W26" s="321" t="s">
        <v>178</v>
      </c>
      <c r="X26" s="321"/>
      <c r="Y26" s="335"/>
    </row>
    <row r="27" spans="1:25" ht="15.75" thickTop="1" x14ac:dyDescent="0.25">
      <c r="A27" s="177" t="s">
        <v>183</v>
      </c>
      <c r="B27" s="178"/>
      <c r="C27" s="178"/>
      <c r="D27" s="178"/>
      <c r="E27" s="178"/>
      <c r="F27" s="178"/>
      <c r="G27" s="178"/>
      <c r="H27" s="178"/>
      <c r="I27" s="178"/>
      <c r="J27" s="178"/>
      <c r="K27" s="178"/>
      <c r="L27" s="179"/>
      <c r="N27" s="180" t="s">
        <v>183</v>
      </c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2"/>
    </row>
    <row r="28" spans="1:25" x14ac:dyDescent="0.25">
      <c r="A28" s="177"/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9"/>
      <c r="N28" s="180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2"/>
    </row>
    <row r="29" spans="1:25" x14ac:dyDescent="0.25">
      <c r="A29" s="177"/>
      <c r="B29" s="178"/>
      <c r="C29" s="178"/>
      <c r="D29" s="178"/>
      <c r="E29" s="178"/>
      <c r="F29" s="178"/>
      <c r="G29" s="178"/>
      <c r="H29" s="178"/>
      <c r="I29" s="178"/>
      <c r="J29" s="178"/>
      <c r="K29" s="178"/>
      <c r="L29" s="179"/>
      <c r="N29" s="180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2"/>
    </row>
    <row r="30" spans="1:25" x14ac:dyDescent="0.25">
      <c r="A30" s="177"/>
      <c r="B30" s="178"/>
      <c r="C30" s="178"/>
      <c r="D30" s="178"/>
      <c r="E30" s="178"/>
      <c r="F30" s="178"/>
      <c r="G30" s="178"/>
      <c r="H30" s="178"/>
      <c r="I30" s="178"/>
      <c r="J30" s="178"/>
      <c r="K30" s="178"/>
      <c r="L30" s="179"/>
      <c r="N30" s="180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2"/>
    </row>
    <row r="31" spans="1:25" ht="15.75" thickBot="1" x14ac:dyDescent="0.3">
      <c r="A31" s="177"/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9"/>
      <c r="N31" s="180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2"/>
    </row>
    <row r="32" spans="1:25" ht="15.75" thickTop="1" x14ac:dyDescent="0.25">
      <c r="A32" s="234"/>
      <c r="B32" s="239" t="s">
        <v>153</v>
      </c>
      <c r="C32" s="235"/>
      <c r="D32" s="206" t="s">
        <v>135</v>
      </c>
      <c r="E32" s="196" t="s">
        <v>136</v>
      </c>
      <c r="F32" s="196" t="s">
        <v>137</v>
      </c>
      <c r="G32" s="196" t="s">
        <v>138</v>
      </c>
      <c r="H32" s="196" t="s">
        <v>139</v>
      </c>
      <c r="I32" s="196" t="s">
        <v>140</v>
      </c>
      <c r="J32" s="196" t="s">
        <v>141</v>
      </c>
      <c r="K32" s="196" t="s">
        <v>142</v>
      </c>
      <c r="L32" s="197" t="s">
        <v>143</v>
      </c>
      <c r="N32" s="201"/>
      <c r="O32" s="207" t="s">
        <v>159</v>
      </c>
      <c r="P32" s="202"/>
      <c r="Q32" s="206" t="s">
        <v>135</v>
      </c>
      <c r="R32" s="196" t="s">
        <v>136</v>
      </c>
      <c r="S32" s="196" t="s">
        <v>137</v>
      </c>
      <c r="T32" s="196" t="s">
        <v>138</v>
      </c>
      <c r="U32" s="196" t="s">
        <v>139</v>
      </c>
      <c r="V32" s="196" t="s">
        <v>140</v>
      </c>
      <c r="W32" s="196" t="s">
        <v>141</v>
      </c>
      <c r="X32" s="196" t="s">
        <v>142</v>
      </c>
      <c r="Y32" s="197" t="s">
        <v>143</v>
      </c>
    </row>
    <row r="33" spans="1:25" ht="15.75" thickBot="1" x14ac:dyDescent="0.3">
      <c r="A33" s="203"/>
      <c r="B33" s="204" t="s">
        <v>158</v>
      </c>
      <c r="C33" s="205"/>
      <c r="D33" s="198"/>
      <c r="E33" s="199"/>
      <c r="F33" s="199"/>
      <c r="G33" s="199"/>
      <c r="H33" s="199"/>
      <c r="I33" s="199"/>
      <c r="J33" s="199"/>
      <c r="K33" s="199"/>
      <c r="L33" s="200"/>
      <c r="N33" s="203"/>
      <c r="O33" s="204" t="s">
        <v>160</v>
      </c>
      <c r="P33" s="205"/>
      <c r="Q33" s="198"/>
      <c r="R33" s="199"/>
      <c r="S33" s="199"/>
      <c r="T33" s="199"/>
      <c r="U33" s="199"/>
      <c r="V33" s="199"/>
      <c r="W33" s="199"/>
      <c r="X33" s="199"/>
      <c r="Y33" s="200"/>
    </row>
    <row r="34" spans="1:25" ht="15.75" thickTop="1" x14ac:dyDescent="0.25"/>
    <row r="36" spans="1:25" ht="15.75" thickBot="1" x14ac:dyDescent="0.3">
      <c r="C36" t="s">
        <v>134</v>
      </c>
    </row>
    <row r="37" spans="1:25" ht="19.5" thickTop="1" x14ac:dyDescent="0.3">
      <c r="A37" s="300" t="s">
        <v>125</v>
      </c>
      <c r="B37" s="157"/>
      <c r="C37" s="157"/>
      <c r="D37" s="157"/>
      <c r="E37" s="219" t="s">
        <v>132</v>
      </c>
      <c r="F37" s="522" t="str">
        <f>IF('Instructor Course Information'!B4="","NOT THIS TERM",'Instructor Course Information'!B4)</f>
        <v>NOT THIS TERM</v>
      </c>
      <c r="G37" s="486"/>
      <c r="H37" s="157"/>
      <c r="I37" s="157"/>
      <c r="J37" s="157"/>
      <c r="K37" s="157"/>
      <c r="L37" s="158"/>
      <c r="N37" s="300" t="s">
        <v>127</v>
      </c>
      <c r="O37" s="157"/>
      <c r="P37" s="157"/>
      <c r="Q37" s="157"/>
      <c r="R37" s="219" t="s">
        <v>132</v>
      </c>
      <c r="S37" s="522" t="str">
        <f>IF('Instructor Course Information'!B6="","NOT THIS TERM",'Instructor Course Information'!B6)</f>
        <v>NOT THIS TERM</v>
      </c>
      <c r="T37" s="486"/>
      <c r="U37" s="157"/>
      <c r="V37" s="157"/>
      <c r="W37" s="157"/>
      <c r="X37" s="157"/>
      <c r="Y37" s="158"/>
    </row>
    <row r="38" spans="1:25" ht="18.75" x14ac:dyDescent="0.3">
      <c r="A38" s="301" t="str">
        <f>'Instructor Course Information'!J1</f>
        <v>WDS:511</v>
      </c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1"/>
      <c r="N38" s="301" t="str">
        <f>'Instructor Course Information'!J1</f>
        <v>WDS:511</v>
      </c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1"/>
    </row>
    <row r="39" spans="1:25" ht="15.75" thickBot="1" x14ac:dyDescent="0.3">
      <c r="A39" s="218"/>
      <c r="B39" s="162"/>
      <c r="C39" s="162"/>
      <c r="D39" s="162"/>
      <c r="E39" s="162"/>
      <c r="F39" s="162"/>
      <c r="G39" s="162"/>
      <c r="H39" s="162"/>
      <c r="I39" s="337" t="str">
        <f>'EMA StartHere'!$G$33</f>
        <v>C:\Users\aidan\OneDrive - University of Calgary\ENCM511_Fall2019</v>
      </c>
      <c r="J39" s="340" t="s">
        <v>179</v>
      </c>
      <c r="K39" s="162"/>
      <c r="L39" s="161"/>
      <c r="N39" s="218"/>
      <c r="O39" s="162"/>
      <c r="P39" s="162"/>
      <c r="Q39" s="162"/>
      <c r="R39" s="162"/>
      <c r="S39" s="162"/>
      <c r="T39" s="162"/>
      <c r="U39" s="162"/>
      <c r="V39" s="337" t="str">
        <f>'EMA StartHere'!$G$33</f>
        <v>C:\Users\aidan\OneDrive - University of Calgary\ENCM511_Fall2019</v>
      </c>
      <c r="W39" s="340" t="s">
        <v>180</v>
      </c>
      <c r="X39" s="339"/>
      <c r="Y39" s="162"/>
    </row>
    <row r="40" spans="1:25" ht="15.75" thickTop="1" x14ac:dyDescent="0.25">
      <c r="A40" s="159" t="s">
        <v>183</v>
      </c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1"/>
      <c r="N40" s="159" t="s">
        <v>183</v>
      </c>
      <c r="O40" s="160"/>
      <c r="P40" s="160"/>
      <c r="Q40" s="160"/>
      <c r="R40" s="160"/>
      <c r="S40" s="160"/>
      <c r="T40" s="160"/>
      <c r="U40" s="160"/>
      <c r="V40" s="160"/>
      <c r="W40" s="338"/>
      <c r="X40" s="160"/>
      <c r="Y40" s="161"/>
    </row>
    <row r="41" spans="1:25" x14ac:dyDescent="0.25">
      <c r="A41" s="159"/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1"/>
      <c r="N41" s="159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1"/>
    </row>
    <row r="42" spans="1:25" x14ac:dyDescent="0.25">
      <c r="A42" s="159"/>
      <c r="B42" s="160"/>
      <c r="C42" s="160"/>
      <c r="D42" s="160"/>
      <c r="E42" s="302" t="s">
        <v>128</v>
      </c>
      <c r="F42" s="160"/>
      <c r="G42" s="160"/>
      <c r="H42" s="160"/>
      <c r="I42" s="160"/>
      <c r="J42" s="160"/>
      <c r="K42" s="160"/>
      <c r="L42" s="161"/>
      <c r="N42" s="159"/>
      <c r="O42" s="160"/>
      <c r="P42" s="160"/>
      <c r="Q42" s="160"/>
      <c r="R42" s="302" t="s">
        <v>128</v>
      </c>
      <c r="S42" s="160"/>
      <c r="T42" s="160"/>
      <c r="U42" s="160"/>
      <c r="V42" s="160"/>
      <c r="W42" s="160"/>
      <c r="X42" s="160"/>
      <c r="Y42" s="161"/>
    </row>
    <row r="43" spans="1:25" x14ac:dyDescent="0.25">
      <c r="A43" s="159"/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1"/>
      <c r="N43" s="159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1"/>
    </row>
    <row r="44" spans="1:25" ht="15.75" thickBot="1" x14ac:dyDescent="0.3">
      <c r="A44" s="159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1"/>
      <c r="N44" s="159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1"/>
    </row>
    <row r="45" spans="1:25" ht="15.75" thickTop="1" x14ac:dyDescent="0.25">
      <c r="A45" s="201"/>
      <c r="B45" s="239" t="s">
        <v>153</v>
      </c>
      <c r="C45" s="202"/>
      <c r="D45" s="206" t="s">
        <v>135</v>
      </c>
      <c r="E45" s="196" t="s">
        <v>136</v>
      </c>
      <c r="F45" s="196" t="s">
        <v>137</v>
      </c>
      <c r="G45" s="196" t="s">
        <v>138</v>
      </c>
      <c r="H45" s="196" t="s">
        <v>139</v>
      </c>
      <c r="I45" s="196" t="s">
        <v>140</v>
      </c>
      <c r="J45" s="196" t="s">
        <v>141</v>
      </c>
      <c r="K45" s="196" t="s">
        <v>142</v>
      </c>
      <c r="L45" s="197" t="s">
        <v>143</v>
      </c>
      <c r="N45" s="201"/>
      <c r="O45" s="239" t="s">
        <v>153</v>
      </c>
      <c r="P45" s="202"/>
      <c r="Q45" s="206" t="s">
        <v>135</v>
      </c>
      <c r="R45" s="196" t="s">
        <v>136</v>
      </c>
      <c r="S45" s="196" t="s">
        <v>137</v>
      </c>
      <c r="T45" s="196" t="s">
        <v>138</v>
      </c>
      <c r="U45" s="196" t="s">
        <v>139</v>
      </c>
      <c r="V45" s="196" t="s">
        <v>140</v>
      </c>
      <c r="W45" s="196" t="s">
        <v>141</v>
      </c>
      <c r="X45" s="196" t="s">
        <v>142</v>
      </c>
      <c r="Y45" s="197" t="s">
        <v>143</v>
      </c>
    </row>
    <row r="46" spans="1:25" ht="15.75" thickBot="1" x14ac:dyDescent="0.3">
      <c r="A46" s="203"/>
      <c r="B46" s="204" t="s">
        <v>157</v>
      </c>
      <c r="C46" s="205"/>
      <c r="D46" s="198"/>
      <c r="E46" s="199"/>
      <c r="F46" s="199"/>
      <c r="G46" s="199"/>
      <c r="H46" s="199"/>
      <c r="I46" s="199"/>
      <c r="J46" s="199"/>
      <c r="K46" s="199"/>
      <c r="L46" s="200"/>
      <c r="N46" s="203"/>
      <c r="O46" s="204" t="s">
        <v>156</v>
      </c>
      <c r="P46" s="205"/>
      <c r="Q46" s="198"/>
      <c r="R46" s="199"/>
      <c r="S46" s="199"/>
      <c r="T46" s="199"/>
      <c r="U46" s="199"/>
      <c r="V46" s="199"/>
      <c r="W46" s="199"/>
      <c r="X46" s="199"/>
      <c r="Y46" s="200"/>
    </row>
    <row r="47" spans="1:25" ht="16.5" thickTop="1" thickBot="1" x14ac:dyDescent="0.3"/>
    <row r="48" spans="1:25" ht="19.5" thickTop="1" x14ac:dyDescent="0.3">
      <c r="A48" s="300" t="s">
        <v>130</v>
      </c>
      <c r="B48" s="219"/>
      <c r="C48" s="219"/>
      <c r="D48" s="219"/>
      <c r="E48" s="219" t="s">
        <v>132</v>
      </c>
      <c r="F48" s="514" t="str">
        <f>IF('Instructor Course Information'!B8="","NOT THIS TERM",'Instructor Course Information'!B8)</f>
        <v>NOT THIS TERM</v>
      </c>
      <c r="G48" s="486"/>
      <c r="H48" s="219"/>
      <c r="I48" s="157"/>
      <c r="J48" s="157"/>
      <c r="K48" s="157"/>
      <c r="L48" s="158"/>
    </row>
    <row r="49" spans="1:12" ht="18.75" x14ac:dyDescent="0.3">
      <c r="A49" s="301" t="str">
        <f>'Instructor Course Information'!J1</f>
        <v>WDS:511</v>
      </c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1"/>
    </row>
    <row r="50" spans="1:12" ht="15.75" thickBot="1" x14ac:dyDescent="0.3">
      <c r="A50" s="218"/>
      <c r="B50" s="162"/>
      <c r="C50" s="162"/>
      <c r="D50" s="162"/>
      <c r="E50" s="162"/>
      <c r="F50" s="162"/>
      <c r="G50" s="162"/>
      <c r="H50" s="162"/>
      <c r="I50" s="337" t="str">
        <f>'EMA StartHere'!$G$33</f>
        <v>C:\Users\aidan\OneDrive - University of Calgary\ENCM511_Fall2019</v>
      </c>
      <c r="J50" s="162" t="s">
        <v>181</v>
      </c>
      <c r="K50" s="162"/>
      <c r="L50" s="162"/>
    </row>
    <row r="51" spans="1:12" ht="15.75" thickTop="1" x14ac:dyDescent="0.25">
      <c r="A51" s="159" t="s">
        <v>183</v>
      </c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1"/>
    </row>
    <row r="52" spans="1:12" x14ac:dyDescent="0.25">
      <c r="A52" s="159"/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1"/>
    </row>
    <row r="53" spans="1:12" x14ac:dyDescent="0.25">
      <c r="A53" s="159"/>
      <c r="B53" s="160"/>
      <c r="C53" s="160"/>
      <c r="D53" s="160"/>
      <c r="E53" s="302" t="s">
        <v>128</v>
      </c>
      <c r="F53" s="160"/>
      <c r="G53" s="160"/>
      <c r="H53" s="160"/>
      <c r="I53" s="160"/>
      <c r="J53" s="160"/>
      <c r="K53" s="160"/>
      <c r="L53" s="161"/>
    </row>
    <row r="54" spans="1:12" x14ac:dyDescent="0.25">
      <c r="A54" s="159"/>
      <c r="B54" s="160"/>
      <c r="C54" s="160"/>
      <c r="D54" s="160"/>
      <c r="E54" s="160"/>
      <c r="F54" s="160"/>
      <c r="G54" s="160"/>
      <c r="H54" s="160"/>
      <c r="I54" s="160"/>
      <c r="J54" s="160"/>
      <c r="K54" s="160"/>
      <c r="L54" s="161"/>
    </row>
    <row r="55" spans="1:12" ht="15.75" thickBot="1" x14ac:dyDescent="0.3">
      <c r="A55" s="159"/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1"/>
    </row>
    <row r="56" spans="1:12" ht="15.75" thickTop="1" x14ac:dyDescent="0.25">
      <c r="A56" s="201"/>
      <c r="B56" s="239" t="s">
        <v>153</v>
      </c>
      <c r="C56" s="202"/>
      <c r="D56" s="206" t="s">
        <v>135</v>
      </c>
      <c r="E56" s="196" t="s">
        <v>136</v>
      </c>
      <c r="F56" s="196" t="s">
        <v>137</v>
      </c>
      <c r="G56" s="196" t="s">
        <v>138</v>
      </c>
      <c r="H56" s="196" t="s">
        <v>139</v>
      </c>
      <c r="I56" s="196" t="s">
        <v>140</v>
      </c>
      <c r="J56" s="196" t="s">
        <v>141</v>
      </c>
      <c r="K56" s="196" t="s">
        <v>142</v>
      </c>
      <c r="L56" s="197" t="s">
        <v>143</v>
      </c>
    </row>
    <row r="57" spans="1:12" ht="15.75" thickBot="1" x14ac:dyDescent="0.3">
      <c r="A57" s="203"/>
      <c r="B57" s="204" t="s">
        <v>155</v>
      </c>
      <c r="C57" s="205"/>
      <c r="D57" s="198"/>
      <c r="E57" s="199"/>
      <c r="F57" s="199"/>
      <c r="G57" s="199"/>
      <c r="H57" s="199"/>
      <c r="I57" s="199"/>
      <c r="J57" s="199"/>
      <c r="K57" s="199"/>
      <c r="L57" s="200"/>
    </row>
    <row r="58" spans="1:12" ht="15.75" thickTop="1" x14ac:dyDescent="0.25"/>
  </sheetData>
  <sheetProtection algorithmName="SHA-512" hashValue="SrQWnoTO84qjYxfq83+IbI3zcL0RUWFM7NvNFcQDexSHj6wUzoLvTp66RkvAQGakG0FhOFYPr1I0mkeH7+55jA==" saltValue="IaVO3HtvjB3nGCL5FOCFBQ==" spinCount="100000" sheet="1" objects="1" scenarios="1"/>
  <mergeCells count="10">
    <mergeCell ref="F48:G48"/>
    <mergeCell ref="U13:V13"/>
    <mergeCell ref="J2:K2"/>
    <mergeCell ref="S2:T2"/>
    <mergeCell ref="S13:T13"/>
    <mergeCell ref="F13:G13"/>
    <mergeCell ref="S24:T24"/>
    <mergeCell ref="F24:G24"/>
    <mergeCell ref="S37:T37"/>
    <mergeCell ref="F37:G37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Write_Initial_EMA">
                <anchor moveWithCells="1" sizeWithCells="1">
                  <from>
                    <xdr:col>21</xdr:col>
                    <xdr:colOff>0</xdr:colOff>
                    <xdr:row>1</xdr:row>
                    <xdr:rowOff>19050</xdr:rowOff>
                  </from>
                  <to>
                    <xdr:col>25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Write_PostQuiz1_EMA">
                <anchor moveWithCells="1" sizeWithCells="1">
                  <from>
                    <xdr:col>8</xdr:col>
                    <xdr:colOff>0</xdr:colOff>
                    <xdr:row>12</xdr:row>
                    <xdr:rowOff>66675</xdr:rowOff>
                  </from>
                  <to>
                    <xdr:col>12</xdr:col>
                    <xdr:colOff>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Write_PostQuiz2_EMA">
                <anchor moveWithCells="1" sizeWithCells="1">
                  <from>
                    <xdr:col>7</xdr:col>
                    <xdr:colOff>247650</xdr:colOff>
                    <xdr:row>36</xdr:row>
                    <xdr:rowOff>200025</xdr:rowOff>
                  </from>
                  <to>
                    <xdr:col>11</xdr:col>
                    <xdr:colOff>209550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Write_PostQuiz3_EMA">
                <anchor moveWithCells="1" sizeWithCells="1">
                  <from>
                    <xdr:col>7</xdr:col>
                    <xdr:colOff>314325</xdr:colOff>
                    <xdr:row>23</xdr:row>
                    <xdr:rowOff>209550</xdr:rowOff>
                  </from>
                  <to>
                    <xdr:col>11</xdr:col>
                    <xdr:colOff>285750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Write_PostQuiz4_EMA">
                <anchor moveWithCells="1" sizeWithCells="1">
                  <from>
                    <xdr:col>20</xdr:col>
                    <xdr:colOff>323850</xdr:colOff>
                    <xdr:row>36</xdr:row>
                    <xdr:rowOff>200025</xdr:rowOff>
                  </from>
                  <to>
                    <xdr:col>24</xdr:col>
                    <xdr:colOff>323850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Button 14">
              <controlPr defaultSize="0" print="0" autoFill="0" autoPict="0" macro="[0]!Write_PostMidterm_EMA">
                <anchor moveWithCells="1" sizeWithCells="1">
                  <from>
                    <xdr:col>20</xdr:col>
                    <xdr:colOff>228600</xdr:colOff>
                    <xdr:row>12</xdr:row>
                    <xdr:rowOff>180975</xdr:rowOff>
                  </from>
                  <to>
                    <xdr:col>24</xdr:col>
                    <xdr:colOff>200025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9" name="Button 15">
              <controlPr defaultSize="0" print="0" autoFill="0" autoPict="0" macro="[0]!Write_PostMidterm2_EMA">
                <anchor moveWithCells="1" sizeWithCells="1">
                  <from>
                    <xdr:col>7</xdr:col>
                    <xdr:colOff>314325</xdr:colOff>
                    <xdr:row>48</xdr:row>
                    <xdr:rowOff>47625</xdr:rowOff>
                  </from>
                  <to>
                    <xdr:col>11</xdr:col>
                    <xdr:colOff>285750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" name="Button 16">
              <controlPr defaultSize="0" print="0" autoFill="0" autoPict="0" macro="[0]!Write_PreFinal_EMA">
                <anchor moveWithCells="1" sizeWithCells="1">
                  <from>
                    <xdr:col>20</xdr:col>
                    <xdr:colOff>390525</xdr:colOff>
                    <xdr:row>23</xdr:row>
                    <xdr:rowOff>161925</xdr:rowOff>
                  </from>
                  <to>
                    <xdr:col>24</xdr:col>
                    <xdr:colOff>381000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39997558519241921"/>
  </sheetPr>
  <dimension ref="A1:AG79"/>
  <sheetViews>
    <sheetView zoomScaleNormal="100" zoomScalePageLayoutView="150" workbookViewId="0">
      <pane xSplit="6" ySplit="1" topLeftCell="G11" activePane="bottomRight" state="frozen"/>
      <selection pane="topRight" activeCell="G1" sqref="G1"/>
      <selection pane="bottomLeft" activeCell="A2" sqref="A2"/>
      <selection pane="bottomRight" activeCell="M27" sqref="M27"/>
    </sheetView>
  </sheetViews>
  <sheetFormatPr defaultColWidth="8.85546875" defaultRowHeight="15" x14ac:dyDescent="0.25"/>
  <cols>
    <col min="1" max="1" width="20.85546875" customWidth="1"/>
    <col min="2" max="2" width="8.42578125" customWidth="1"/>
    <col min="3" max="3" width="6.28515625" customWidth="1"/>
    <col min="4" max="4" width="5.7109375" customWidth="1"/>
    <col min="5" max="5" width="6.42578125" customWidth="1"/>
    <col min="6" max="6" width="6.85546875" customWidth="1"/>
    <col min="7" max="7" width="3.28515625" customWidth="1"/>
    <col min="8" max="8" width="14.140625" customWidth="1"/>
    <col min="9" max="9" width="7.42578125" customWidth="1"/>
    <col min="10" max="10" width="14" customWidth="1"/>
    <col min="11" max="11" width="5.42578125" customWidth="1"/>
    <col min="12" max="12" width="4.85546875" customWidth="1"/>
    <col min="13" max="13" width="5.85546875" customWidth="1"/>
    <col min="14" max="14" width="7.42578125" customWidth="1"/>
    <col min="15" max="15" width="4.85546875" customWidth="1"/>
    <col min="16" max="16" width="5.42578125" customWidth="1"/>
    <col min="17" max="17" width="6.7109375" customWidth="1"/>
    <col min="18" max="18" width="4.85546875" customWidth="1"/>
    <col min="19" max="19" width="6.42578125" customWidth="1"/>
    <col min="20" max="20" width="12.85546875" customWidth="1"/>
  </cols>
  <sheetData>
    <row r="1" spans="1:33" ht="56.25" customHeight="1" thickTop="1" thickBot="1" x14ac:dyDescent="0.3">
      <c r="A1" s="352" t="s">
        <v>117</v>
      </c>
      <c r="B1" s="353" t="s">
        <v>0</v>
      </c>
      <c r="C1" s="354" t="s">
        <v>62</v>
      </c>
      <c r="D1" s="355" t="s">
        <v>63</v>
      </c>
      <c r="E1" s="356" t="s">
        <v>225</v>
      </c>
      <c r="F1" s="357" t="s">
        <v>103</v>
      </c>
      <c r="G1" s="358"/>
      <c r="H1" s="358"/>
      <c r="I1" s="359" t="s">
        <v>168</v>
      </c>
      <c r="J1" s="360" t="s">
        <v>169</v>
      </c>
      <c r="K1" s="358"/>
      <c r="L1" s="358"/>
      <c r="M1" s="361" t="s">
        <v>56</v>
      </c>
      <c r="N1" s="362" t="s">
        <v>55</v>
      </c>
      <c r="O1" s="358"/>
      <c r="P1" s="358"/>
      <c r="Q1" s="183"/>
      <c r="R1" s="183"/>
      <c r="S1" s="183"/>
      <c r="T1" s="183"/>
      <c r="U1" s="183"/>
      <c r="V1" s="183"/>
      <c r="W1" s="16"/>
      <c r="X1" s="16"/>
      <c r="Y1" s="16"/>
      <c r="Z1" s="16"/>
      <c r="AB1" s="4"/>
      <c r="AC1" s="4"/>
      <c r="AD1" s="4"/>
      <c r="AE1" s="4"/>
      <c r="AF1" s="4"/>
      <c r="AG1" s="4"/>
    </row>
    <row r="2" spans="1:33" ht="15.75" thickTop="1" x14ac:dyDescent="0.25">
      <c r="A2" s="363" t="s">
        <v>201</v>
      </c>
      <c r="B2" s="364">
        <v>43740</v>
      </c>
      <c r="C2" s="365">
        <v>2</v>
      </c>
      <c r="D2" s="366"/>
      <c r="E2" s="367">
        <v>75</v>
      </c>
      <c r="F2" s="368">
        <f t="shared" ref="F2:F9" si="0">E2*(1+$T$9/100)</f>
        <v>86.25</v>
      </c>
      <c r="G2" s="369"/>
      <c r="H2" s="183"/>
      <c r="I2" s="183"/>
      <c r="J2" s="183"/>
      <c r="K2" s="183"/>
      <c r="L2" s="183"/>
      <c r="M2" s="370">
        <v>0</v>
      </c>
      <c r="N2" s="371"/>
      <c r="O2" s="183"/>
      <c r="P2" s="372" t="s">
        <v>114</v>
      </c>
      <c r="Q2" s="373"/>
      <c r="R2" s="373"/>
      <c r="S2" s="373"/>
      <c r="T2" s="374"/>
      <c r="U2" s="183"/>
      <c r="V2" s="183"/>
      <c r="AB2" s="5"/>
      <c r="AC2" s="5"/>
    </row>
    <row r="3" spans="1:33" ht="15.75" thickBot="1" x14ac:dyDescent="0.3">
      <c r="A3" s="375" t="s">
        <v>202</v>
      </c>
      <c r="B3" s="376">
        <v>43753</v>
      </c>
      <c r="C3" s="377"/>
      <c r="D3" s="378">
        <v>0.5</v>
      </c>
      <c r="E3" s="379">
        <v>1E-3</v>
      </c>
      <c r="F3" s="380">
        <f t="shared" si="0"/>
        <v>1.15E-3</v>
      </c>
      <c r="G3" s="369"/>
      <c r="H3" s="183"/>
      <c r="I3" s="183"/>
      <c r="J3" s="183"/>
      <c r="K3" s="183"/>
      <c r="L3" s="183"/>
      <c r="M3" s="381">
        <v>2E-3</v>
      </c>
      <c r="N3" s="382" t="s">
        <v>42</v>
      </c>
      <c r="O3" s="183"/>
      <c r="P3" s="383" t="str">
        <f>'EMA StartHere'!A25</f>
        <v>Assignment Performance</v>
      </c>
      <c r="Q3" s="384"/>
      <c r="R3" s="384"/>
      <c r="S3" s="384"/>
      <c r="T3" s="385">
        <f>IF('EMA StartHere'!E25="????",0,'EMA StartHere'!E25)</f>
        <v>20</v>
      </c>
      <c r="U3" s="183"/>
      <c r="V3" s="183"/>
      <c r="AB3" s="5"/>
      <c r="AC3" s="5"/>
    </row>
    <row r="4" spans="1:33" ht="16.5" thickTop="1" thickBot="1" x14ac:dyDescent="0.3">
      <c r="A4" s="375" t="s">
        <v>203</v>
      </c>
      <c r="B4" s="376"/>
      <c r="C4" s="377"/>
      <c r="D4" s="378"/>
      <c r="E4" s="379">
        <v>1E-3</v>
      </c>
      <c r="F4" s="380">
        <f t="shared" si="0"/>
        <v>1.15E-3</v>
      </c>
      <c r="G4" s="369"/>
      <c r="H4" s="183"/>
      <c r="I4" s="183"/>
      <c r="J4" s="183"/>
      <c r="K4" s="183"/>
      <c r="L4" s="183"/>
      <c r="M4" s="386">
        <v>35</v>
      </c>
      <c r="N4" s="387" t="s">
        <v>43</v>
      </c>
      <c r="O4" s="183"/>
      <c r="P4" s="383" t="str">
        <f>'EMA StartHere'!A26</f>
        <v>Laboratory Performance</v>
      </c>
      <c r="Q4" s="384"/>
      <c r="R4" s="384"/>
      <c r="S4" s="384"/>
      <c r="T4" s="385">
        <f>IF('EMA StartHere'!E26="????",0,'EMA StartHere'!E26)</f>
        <v>20</v>
      </c>
      <c r="U4" s="183"/>
      <c r="V4" s="183"/>
      <c r="AB4" s="5"/>
      <c r="AC4" s="5"/>
    </row>
    <row r="5" spans="1:33" ht="16.5" thickTop="1" thickBot="1" x14ac:dyDescent="0.3">
      <c r="A5" s="375" t="s">
        <v>204</v>
      </c>
      <c r="B5" s="376">
        <v>43789</v>
      </c>
      <c r="C5" s="377"/>
      <c r="D5" s="378">
        <v>0.5</v>
      </c>
      <c r="E5" s="379">
        <v>1E-3</v>
      </c>
      <c r="F5" s="380">
        <f t="shared" si="0"/>
        <v>1.15E-3</v>
      </c>
      <c r="G5" s="369"/>
      <c r="H5" s="183"/>
      <c r="I5" s="183"/>
      <c r="J5" s="183"/>
      <c r="K5" s="183"/>
      <c r="L5" s="183"/>
      <c r="M5" s="386">
        <v>45</v>
      </c>
      <c r="N5" s="387" t="s">
        <v>44</v>
      </c>
      <c r="O5" s="183"/>
      <c r="P5" s="383" t="str">
        <f>'EMA StartHere'!A27</f>
        <v>Assignments / Lab On time</v>
      </c>
      <c r="Q5" s="384"/>
      <c r="R5" s="384"/>
      <c r="S5" s="384"/>
      <c r="T5" s="385">
        <f>IF('EMA StartHere'!E27="????",0,'EMA StartHere'!E27)</f>
        <v>15</v>
      </c>
      <c r="U5" s="183"/>
      <c r="V5" s="183"/>
      <c r="AB5" s="5"/>
      <c r="AC5" s="5"/>
    </row>
    <row r="6" spans="1:33" ht="16.5" thickTop="1" thickBot="1" x14ac:dyDescent="0.3">
      <c r="A6" s="375" t="s">
        <v>205</v>
      </c>
      <c r="B6" s="376"/>
      <c r="C6" s="377"/>
      <c r="D6" s="378"/>
      <c r="E6" s="379">
        <v>1E-3</v>
      </c>
      <c r="F6" s="380">
        <f t="shared" si="0"/>
        <v>1.15E-3</v>
      </c>
      <c r="G6" s="369"/>
      <c r="H6" s="183"/>
      <c r="I6" s="183"/>
      <c r="J6" s="183"/>
      <c r="K6" s="183"/>
      <c r="L6" s="183"/>
      <c r="M6" s="388">
        <v>52</v>
      </c>
      <c r="N6" s="389" t="s">
        <v>45</v>
      </c>
      <c r="O6" s="183"/>
      <c r="P6" s="383" t="str">
        <f>'EMA StartHere'!A28</f>
        <v>Quiz Performance</v>
      </c>
      <c r="Q6" s="384"/>
      <c r="R6" s="384"/>
      <c r="S6" s="384"/>
      <c r="T6" s="385">
        <f>IF('EMA StartHere'!E28="????",0,'EMA StartHere'!E28)</f>
        <v>10</v>
      </c>
      <c r="U6" s="183"/>
      <c r="V6" s="183"/>
      <c r="AB6" s="5"/>
      <c r="AC6" s="5"/>
    </row>
    <row r="7" spans="1:33" ht="16.5" thickTop="1" thickBot="1" x14ac:dyDescent="0.3">
      <c r="A7" s="375" t="s">
        <v>206</v>
      </c>
      <c r="B7" s="376">
        <v>43771</v>
      </c>
      <c r="C7" s="377"/>
      <c r="D7" s="378">
        <v>0.5</v>
      </c>
      <c r="E7" s="379">
        <v>1E-3</v>
      </c>
      <c r="F7" s="380">
        <f t="shared" si="0"/>
        <v>1.15E-3</v>
      </c>
      <c r="G7" s="369"/>
      <c r="H7" s="390" t="s">
        <v>116</v>
      </c>
      <c r="I7" s="391"/>
      <c r="J7" s="391"/>
      <c r="K7" s="392"/>
      <c r="L7" s="183"/>
      <c r="M7" s="388">
        <v>57</v>
      </c>
      <c r="N7" s="389" t="s">
        <v>46</v>
      </c>
      <c r="O7" s="183"/>
      <c r="P7" s="383" t="str">
        <f>'EMA StartHere'!A29</f>
        <v>Midterm Performance</v>
      </c>
      <c r="Q7" s="384"/>
      <c r="R7" s="384"/>
      <c r="S7" s="384"/>
      <c r="T7" s="385">
        <f>IF('EMA StartHere'!E29="????",0,'EMA StartHere'!E29)</f>
        <v>10</v>
      </c>
      <c r="U7" s="183"/>
      <c r="V7" s="183"/>
      <c r="AB7" s="5"/>
      <c r="AC7" s="5"/>
    </row>
    <row r="8" spans="1:33" ht="16.5" thickTop="1" thickBot="1" x14ac:dyDescent="0.3">
      <c r="A8" s="375" t="s">
        <v>207</v>
      </c>
      <c r="B8" s="393"/>
      <c r="C8" s="377"/>
      <c r="D8" s="378"/>
      <c r="E8" s="379">
        <v>1E-3</v>
      </c>
      <c r="F8" s="380">
        <f t="shared" si="0"/>
        <v>1.15E-3</v>
      </c>
      <c r="G8" s="369"/>
      <c r="H8" s="394" t="s">
        <v>119</v>
      </c>
      <c r="I8" s="395"/>
      <c r="J8" s="395"/>
      <c r="K8" s="396"/>
      <c r="L8" s="183"/>
      <c r="M8" s="397">
        <v>63</v>
      </c>
      <c r="N8" s="398" t="s">
        <v>47</v>
      </c>
      <c r="O8" s="183"/>
      <c r="P8" s="383" t="str">
        <f>'EMA StartHere'!A30</f>
        <v>Final Exam Performance</v>
      </c>
      <c r="Q8" s="384"/>
      <c r="R8" s="384"/>
      <c r="S8" s="384"/>
      <c r="T8" s="385">
        <f>IF('EMA StartHere'!E30="????",0,'EMA StartHere'!E30)</f>
        <v>15</v>
      </c>
      <c r="U8" s="183"/>
      <c r="V8" s="183"/>
      <c r="Z8" s="17"/>
      <c r="AB8" s="5"/>
      <c r="AC8" s="5"/>
    </row>
    <row r="9" spans="1:33" ht="16.5" thickTop="1" thickBot="1" x14ac:dyDescent="0.3">
      <c r="A9" s="399" t="s">
        <v>217</v>
      </c>
      <c r="B9" s="400">
        <v>43809</v>
      </c>
      <c r="C9" s="401">
        <v>2</v>
      </c>
      <c r="D9" s="402"/>
      <c r="E9" s="379">
        <v>60</v>
      </c>
      <c r="F9" s="403">
        <f t="shared" si="0"/>
        <v>69</v>
      </c>
      <c r="G9" s="369"/>
      <c r="H9" s="404" t="s">
        <v>120</v>
      </c>
      <c r="I9" s="405"/>
      <c r="J9" s="405"/>
      <c r="K9" s="406"/>
      <c r="L9" s="183"/>
      <c r="M9" s="397">
        <v>68</v>
      </c>
      <c r="N9" s="398" t="s">
        <v>48</v>
      </c>
      <c r="O9" s="183"/>
      <c r="P9" s="383" t="str">
        <f>'EMA StartHere'!A31</f>
        <v>Unusual Component Performance</v>
      </c>
      <c r="Q9" s="384"/>
      <c r="R9" s="384"/>
      <c r="S9" s="384"/>
      <c r="T9" s="385">
        <f>IF('EMA StartHere'!E31="????",0,'EMA StartHere'!E31)</f>
        <v>15</v>
      </c>
      <c r="U9" s="183"/>
      <c r="V9" s="183"/>
      <c r="W9" s="5"/>
      <c r="X9" s="5"/>
      <c r="Y9" s="5"/>
      <c r="Z9" s="5"/>
      <c r="AA9" s="5"/>
      <c r="AB9" s="5"/>
      <c r="AC9" s="5"/>
    </row>
    <row r="10" spans="1:33" ht="16.5" thickTop="1" thickBot="1" x14ac:dyDescent="0.3">
      <c r="A10" s="363" t="s">
        <v>2</v>
      </c>
      <c r="B10" s="364">
        <v>43752</v>
      </c>
      <c r="C10" s="365">
        <v>4</v>
      </c>
      <c r="D10" s="366"/>
      <c r="E10" s="367">
        <v>65</v>
      </c>
      <c r="F10" s="368">
        <f>E10*(1+$T$6/100)</f>
        <v>71.5</v>
      </c>
      <c r="G10" s="369"/>
      <c r="H10" s="183"/>
      <c r="I10" s="183"/>
      <c r="J10" s="183"/>
      <c r="K10" s="183"/>
      <c r="L10" s="183"/>
      <c r="M10" s="407">
        <v>72</v>
      </c>
      <c r="N10" s="408" t="s">
        <v>41</v>
      </c>
      <c r="O10" s="183"/>
      <c r="P10" s="409" t="str">
        <f>'EMA StartHere'!A32</f>
        <v>Other course components</v>
      </c>
      <c r="Q10" s="410"/>
      <c r="R10" s="410"/>
      <c r="S10" s="410"/>
      <c r="T10" s="411">
        <f>IF('EMA StartHere'!E32="????",0,'EMA StartHere'!E32)</f>
        <v>15</v>
      </c>
      <c r="U10" s="183"/>
      <c r="V10" s="183"/>
      <c r="W10" s="5"/>
      <c r="X10" s="5"/>
      <c r="Y10" s="5"/>
      <c r="Z10" s="5"/>
      <c r="AA10" s="5"/>
      <c r="AB10" s="5"/>
      <c r="AC10" s="5"/>
    </row>
    <row r="11" spans="1:33" ht="15.75" thickTop="1" x14ac:dyDescent="0.25">
      <c r="A11" s="375" t="s">
        <v>10</v>
      </c>
      <c r="B11" s="376">
        <v>43752</v>
      </c>
      <c r="C11" s="377"/>
      <c r="D11" s="378">
        <v>0.5</v>
      </c>
      <c r="E11" s="379">
        <v>1E-3</v>
      </c>
      <c r="F11" s="380">
        <f>E11*(1+$T$9/100)</f>
        <v>1.15E-3</v>
      </c>
      <c r="G11" s="369"/>
      <c r="H11" s="412" t="s">
        <v>121</v>
      </c>
      <c r="I11" s="183"/>
      <c r="J11" s="372" t="s">
        <v>82</v>
      </c>
      <c r="K11" s="413"/>
      <c r="L11" s="183"/>
      <c r="M11" s="407">
        <v>75</v>
      </c>
      <c r="N11" s="408" t="s">
        <v>49</v>
      </c>
      <c r="O11" s="183"/>
      <c r="P11" s="183"/>
      <c r="Q11" s="183"/>
      <c r="R11" s="183"/>
      <c r="S11" s="183"/>
      <c r="T11" s="183"/>
      <c r="U11" s="183"/>
      <c r="V11" s="183"/>
      <c r="W11" s="5"/>
      <c r="X11" s="5"/>
      <c r="Y11" s="5"/>
      <c r="Z11" s="5"/>
      <c r="AA11" s="5"/>
      <c r="AB11" s="5"/>
      <c r="AC11" s="5"/>
    </row>
    <row r="12" spans="1:33" x14ac:dyDescent="0.25">
      <c r="A12" s="375" t="s">
        <v>9</v>
      </c>
      <c r="B12" s="376"/>
      <c r="C12" s="377"/>
      <c r="D12" s="378"/>
      <c r="E12" s="414">
        <v>0</v>
      </c>
      <c r="F12" s="380">
        <f>E12*(1+$T$6/100)</f>
        <v>0</v>
      </c>
      <c r="G12" s="369"/>
      <c r="H12" s="415" t="s">
        <v>123</v>
      </c>
      <c r="I12" s="183"/>
      <c r="J12" s="416" t="s">
        <v>213</v>
      </c>
      <c r="K12" s="417"/>
      <c r="L12" s="183"/>
      <c r="M12" s="407">
        <v>78</v>
      </c>
      <c r="N12" s="408" t="s">
        <v>50</v>
      </c>
      <c r="O12" s="183"/>
      <c r="P12" s="183"/>
      <c r="Q12" s="183"/>
      <c r="R12" s="183"/>
      <c r="S12" s="183"/>
      <c r="T12" s="418"/>
      <c r="U12" s="418"/>
      <c r="V12" s="418"/>
      <c r="Y12" s="5"/>
      <c r="Z12" s="5"/>
      <c r="AA12" s="5"/>
      <c r="AB12" s="5"/>
      <c r="AC12" s="5"/>
    </row>
    <row r="13" spans="1:33" x14ac:dyDescent="0.25">
      <c r="A13" s="375" t="s">
        <v>11</v>
      </c>
      <c r="B13" s="376"/>
      <c r="C13" s="377"/>
      <c r="D13" s="378"/>
      <c r="E13" s="379">
        <v>1E-3</v>
      </c>
      <c r="F13" s="380">
        <f>E13*(1+$T$9/100)</f>
        <v>1.15E-3</v>
      </c>
      <c r="G13" s="369"/>
      <c r="H13" s="415" t="s">
        <v>122</v>
      </c>
      <c r="I13" s="183"/>
      <c r="J13" s="416" t="s">
        <v>227</v>
      </c>
      <c r="K13" s="417"/>
      <c r="L13" s="183"/>
      <c r="M13" s="419">
        <v>81</v>
      </c>
      <c r="N13" s="420" t="s">
        <v>51</v>
      </c>
      <c r="O13" s="183"/>
      <c r="P13" s="183"/>
      <c r="Q13" s="183"/>
      <c r="R13" s="183"/>
      <c r="S13" s="183"/>
      <c r="T13" s="418"/>
      <c r="U13" s="418"/>
      <c r="V13" s="418"/>
      <c r="Y13" s="5"/>
      <c r="Z13" s="5"/>
      <c r="AA13" s="5"/>
      <c r="AB13" s="5"/>
      <c r="AC13" s="5"/>
    </row>
    <row r="14" spans="1:33" x14ac:dyDescent="0.25">
      <c r="A14" s="375" t="s">
        <v>3</v>
      </c>
      <c r="B14" s="376">
        <v>43791</v>
      </c>
      <c r="C14" s="377">
        <v>4</v>
      </c>
      <c r="D14" s="378"/>
      <c r="E14" s="414">
        <v>65</v>
      </c>
      <c r="F14" s="380">
        <f>E14*(1+$T$6/100)</f>
        <v>71.5</v>
      </c>
      <c r="G14" s="369"/>
      <c r="H14" s="415" t="s">
        <v>184</v>
      </c>
      <c r="I14" s="183"/>
      <c r="J14" s="416" t="s">
        <v>228</v>
      </c>
      <c r="K14" s="417"/>
      <c r="L14" s="183"/>
      <c r="M14" s="419">
        <v>85</v>
      </c>
      <c r="N14" s="420" t="s">
        <v>52</v>
      </c>
      <c r="O14" s="183"/>
      <c r="P14" s="183"/>
      <c r="Q14" s="183"/>
      <c r="R14" s="183"/>
      <c r="S14" s="183"/>
      <c r="T14" s="418"/>
      <c r="U14" s="418"/>
      <c r="V14" s="418"/>
      <c r="Y14" s="5"/>
      <c r="Z14" s="5"/>
      <c r="AA14" s="5"/>
      <c r="AB14" s="5"/>
      <c r="AC14" s="5"/>
    </row>
    <row r="15" spans="1:33" x14ac:dyDescent="0.25">
      <c r="A15" s="375" t="s">
        <v>12</v>
      </c>
      <c r="B15" s="376">
        <v>43791</v>
      </c>
      <c r="C15" s="377"/>
      <c r="D15" s="378">
        <v>0.5</v>
      </c>
      <c r="E15" s="379">
        <v>1E-3</v>
      </c>
      <c r="F15" s="380">
        <f>E15*(1+$T$9/100)</f>
        <v>1.15E-3</v>
      </c>
      <c r="G15" s="369"/>
      <c r="H15" s="415" t="s">
        <v>185</v>
      </c>
      <c r="I15" s="183"/>
      <c r="J15" s="416" t="s">
        <v>229</v>
      </c>
      <c r="K15" s="417"/>
      <c r="L15" s="183"/>
      <c r="M15" s="419">
        <v>88</v>
      </c>
      <c r="N15" s="420" t="s">
        <v>53</v>
      </c>
      <c r="O15" s="183"/>
      <c r="P15" s="183"/>
      <c r="Q15" s="183"/>
      <c r="R15" s="183"/>
      <c r="S15" s="183"/>
      <c r="T15" s="418"/>
      <c r="U15" s="418"/>
      <c r="V15" s="418"/>
      <c r="Y15" s="5"/>
      <c r="Z15" s="5"/>
      <c r="AA15" s="5"/>
      <c r="AB15" s="5"/>
      <c r="AC15" s="5"/>
    </row>
    <row r="16" spans="1:33" ht="15.75" thickBot="1" x14ac:dyDescent="0.3">
      <c r="A16" s="375" t="s">
        <v>13</v>
      </c>
      <c r="B16" s="393"/>
      <c r="C16" s="377"/>
      <c r="D16" s="378"/>
      <c r="E16" s="414"/>
      <c r="F16" s="380">
        <f>E16*(1+$T$6/100)</f>
        <v>0</v>
      </c>
      <c r="G16" s="369"/>
      <c r="H16" s="421" t="s">
        <v>186</v>
      </c>
      <c r="I16" s="183"/>
      <c r="J16" s="422" t="s">
        <v>226</v>
      </c>
      <c r="K16" s="423"/>
      <c r="L16" s="183"/>
      <c r="M16" s="424">
        <v>92</v>
      </c>
      <c r="N16" s="425" t="s">
        <v>54</v>
      </c>
      <c r="O16" s="183"/>
      <c r="P16" s="183"/>
      <c r="Q16" s="183"/>
      <c r="R16" s="183"/>
      <c r="S16" s="183"/>
      <c r="T16" s="418"/>
      <c r="U16" s="418"/>
      <c r="V16" s="418"/>
      <c r="AA16" s="5"/>
      <c r="AB16" s="5"/>
      <c r="AC16" s="5"/>
    </row>
    <row r="17" spans="1:29" ht="16.5" thickTop="1" thickBot="1" x14ac:dyDescent="0.3">
      <c r="A17" s="399" t="s">
        <v>14</v>
      </c>
      <c r="B17" s="400"/>
      <c r="C17" s="401"/>
      <c r="D17" s="402"/>
      <c r="E17" s="379">
        <v>1E-3</v>
      </c>
      <c r="F17" s="403">
        <f>E17*(1+$T$9/100)</f>
        <v>1.15E-3</v>
      </c>
      <c r="G17" s="369"/>
      <c r="H17" s="183"/>
      <c r="I17" s="183"/>
      <c r="J17" s="369"/>
      <c r="K17" s="183"/>
      <c r="L17" s="183"/>
      <c r="M17" s="183"/>
      <c r="N17" s="183"/>
      <c r="O17" s="183"/>
      <c r="P17" s="183"/>
      <c r="Q17" s="426"/>
      <c r="R17" s="426"/>
      <c r="S17" s="427"/>
      <c r="T17" s="418"/>
      <c r="U17" s="418"/>
      <c r="V17" s="418"/>
      <c r="AA17" s="5"/>
      <c r="AB17" s="5"/>
      <c r="AC17" s="5"/>
    </row>
    <row r="18" spans="1:29" ht="15.75" thickTop="1" x14ac:dyDescent="0.25">
      <c r="A18" s="363" t="s">
        <v>1</v>
      </c>
      <c r="B18" s="364">
        <v>43769</v>
      </c>
      <c r="C18" s="365">
        <v>17</v>
      </c>
      <c r="D18" s="366"/>
      <c r="E18" s="367">
        <v>65</v>
      </c>
      <c r="F18" s="368">
        <f>E18*(1+$T$7/100)</f>
        <v>71.5</v>
      </c>
      <c r="G18" s="369"/>
      <c r="H18" s="369"/>
      <c r="I18" s="369"/>
      <c r="J18" s="369"/>
      <c r="K18" s="369"/>
      <c r="L18" s="183"/>
      <c r="M18" s="183"/>
      <c r="N18" s="183"/>
      <c r="O18" s="183"/>
      <c r="P18" s="183"/>
      <c r="Q18" s="426"/>
      <c r="R18" s="426"/>
      <c r="S18" s="427"/>
      <c r="T18" s="418" t="s">
        <v>224</v>
      </c>
      <c r="U18" s="462">
        <f>C24+C26+C28+C30+C32</f>
        <v>16</v>
      </c>
      <c r="V18" s="418"/>
      <c r="AA18" s="5"/>
      <c r="AB18" s="5"/>
      <c r="AC18" s="5"/>
    </row>
    <row r="19" spans="1:29" x14ac:dyDescent="0.25">
      <c r="A19" s="375" t="s">
        <v>15</v>
      </c>
      <c r="B19" s="376">
        <v>43769</v>
      </c>
      <c r="C19" s="377"/>
      <c r="D19" s="378">
        <v>0.5</v>
      </c>
      <c r="E19" s="379">
        <v>1E-3</v>
      </c>
      <c r="F19" s="380">
        <f>E19*(1+$T$9/100)</f>
        <v>1.15E-3</v>
      </c>
      <c r="G19" s="369"/>
      <c r="H19" s="369"/>
      <c r="I19" s="369"/>
      <c r="J19" s="369"/>
      <c r="K19" s="369"/>
      <c r="L19" s="369"/>
      <c r="M19" s="369"/>
      <c r="N19" s="369"/>
      <c r="O19" s="369"/>
      <c r="P19" s="369"/>
      <c r="Q19" s="426"/>
      <c r="R19" s="426"/>
      <c r="S19" s="427"/>
      <c r="T19" s="418" t="s">
        <v>218</v>
      </c>
      <c r="U19" s="462">
        <f>C25+C29+C33</f>
        <v>4.5</v>
      </c>
      <c r="V19" s="418"/>
      <c r="AA19" s="5"/>
      <c r="AB19" s="5"/>
      <c r="AC19" s="5"/>
    </row>
    <row r="20" spans="1:29" x14ac:dyDescent="0.25">
      <c r="A20" s="375" t="s">
        <v>16</v>
      </c>
      <c r="B20" s="376"/>
      <c r="C20" s="377"/>
      <c r="D20" s="378"/>
      <c r="E20" s="414"/>
      <c r="F20" s="380">
        <f>E20*(1+$T$7/100)</f>
        <v>0</v>
      </c>
      <c r="G20" s="369"/>
      <c r="H20" s="369"/>
      <c r="I20" s="369"/>
      <c r="J20" s="369"/>
      <c r="K20" s="369"/>
      <c r="L20" s="369"/>
      <c r="M20" s="369"/>
      <c r="N20" s="369"/>
      <c r="O20" s="369"/>
      <c r="P20" s="427"/>
      <c r="Q20" s="427"/>
      <c r="R20" s="427"/>
      <c r="S20" s="427"/>
      <c r="T20" s="418" t="s">
        <v>219</v>
      </c>
      <c r="U20" s="183">
        <v>8</v>
      </c>
      <c r="V20" s="183">
        <v>8</v>
      </c>
      <c r="AA20" s="5"/>
      <c r="AB20" s="5"/>
      <c r="AC20" s="5"/>
    </row>
    <row r="21" spans="1:29" ht="15.75" thickBot="1" x14ac:dyDescent="0.3">
      <c r="A21" s="428" t="s">
        <v>17</v>
      </c>
      <c r="B21" s="429"/>
      <c r="C21" s="430"/>
      <c r="D21" s="431"/>
      <c r="E21" s="379">
        <v>1E-3</v>
      </c>
      <c r="F21" s="432">
        <f>E21*(1+$T$9/100)</f>
        <v>1.15E-3</v>
      </c>
      <c r="G21" s="369"/>
      <c r="H21" s="369"/>
      <c r="I21" s="369"/>
      <c r="J21" s="183"/>
      <c r="K21" s="183"/>
      <c r="L21" s="369"/>
      <c r="M21" s="369"/>
      <c r="N21" s="369"/>
      <c r="O21" s="369"/>
      <c r="P21" s="427"/>
      <c r="Q21" s="427"/>
      <c r="R21" s="427"/>
      <c r="S21" s="183"/>
      <c r="T21" s="418" t="s">
        <v>220</v>
      </c>
      <c r="U21" s="183">
        <v>7</v>
      </c>
      <c r="V21" s="183">
        <v>7</v>
      </c>
      <c r="AA21" s="5"/>
      <c r="AB21" s="5"/>
      <c r="AC21" s="5"/>
    </row>
    <row r="22" spans="1:29" ht="15.75" thickTop="1" x14ac:dyDescent="0.25">
      <c r="A22" s="363" t="s">
        <v>4</v>
      </c>
      <c r="B22" s="364">
        <v>43814</v>
      </c>
      <c r="C22" s="365">
        <v>42</v>
      </c>
      <c r="D22" s="366"/>
      <c r="E22" s="367">
        <v>70</v>
      </c>
      <c r="F22" s="368">
        <f>E22*(1+$T$8/100)</f>
        <v>80.5</v>
      </c>
      <c r="G22" s="369"/>
      <c r="H22" s="369"/>
      <c r="I22" s="369"/>
      <c r="J22" s="183"/>
      <c r="K22" s="183"/>
      <c r="L22" s="369"/>
      <c r="M22" s="183"/>
      <c r="N22" s="433"/>
      <c r="O22" s="369"/>
      <c r="P22" s="427"/>
      <c r="Q22" s="427"/>
      <c r="R22" s="427"/>
      <c r="S22" s="183"/>
      <c r="T22" s="418" t="s">
        <v>221</v>
      </c>
      <c r="U22" s="183">
        <v>4</v>
      </c>
      <c r="V22" s="183">
        <v>5</v>
      </c>
      <c r="AA22" s="5"/>
      <c r="AB22" s="5"/>
      <c r="AC22" s="5"/>
    </row>
    <row r="23" spans="1:29" ht="15.75" thickBot="1" x14ac:dyDescent="0.3">
      <c r="A23" s="399" t="s">
        <v>18</v>
      </c>
      <c r="B23" s="400">
        <v>43814</v>
      </c>
      <c r="C23" s="401"/>
      <c r="D23" s="402">
        <v>1</v>
      </c>
      <c r="E23" s="379">
        <v>1E-3</v>
      </c>
      <c r="F23" s="403">
        <f>E23*(1+$T$9/100)</f>
        <v>1.15E-3</v>
      </c>
      <c r="G23" s="369"/>
      <c r="H23" s="183"/>
      <c r="I23" s="183"/>
      <c r="J23" s="183"/>
      <c r="K23" s="183"/>
      <c r="L23" s="183"/>
      <c r="M23" s="183"/>
      <c r="N23" s="183"/>
      <c r="O23" s="183"/>
      <c r="P23" s="183"/>
      <c r="Q23" s="427"/>
      <c r="R23" s="433"/>
      <c r="S23" s="183"/>
      <c r="T23" s="418" t="s">
        <v>222</v>
      </c>
      <c r="U23" s="183">
        <v>17</v>
      </c>
      <c r="V23" s="183">
        <v>17</v>
      </c>
      <c r="Y23" s="5"/>
      <c r="Z23" s="5"/>
      <c r="AA23" s="5"/>
      <c r="AB23" s="5"/>
      <c r="AC23" s="5"/>
    </row>
    <row r="24" spans="1:29" ht="15.75" thickTop="1" x14ac:dyDescent="0.25">
      <c r="A24" s="363" t="s">
        <v>57</v>
      </c>
      <c r="B24" s="364">
        <v>43740</v>
      </c>
      <c r="C24" s="365">
        <v>1.6</v>
      </c>
      <c r="D24" s="366"/>
      <c r="E24" s="367">
        <v>80</v>
      </c>
      <c r="F24" s="368">
        <f t="shared" ref="F24:F33" si="1">E24*(1+$T$4/100)</f>
        <v>96</v>
      </c>
      <c r="G24" s="369"/>
      <c r="H24" s="369"/>
      <c r="I24" s="369"/>
      <c r="J24" s="183"/>
      <c r="K24" s="183"/>
      <c r="L24" s="369"/>
      <c r="M24" s="369"/>
      <c r="N24" s="369"/>
      <c r="O24" s="369"/>
      <c r="P24" s="427"/>
      <c r="Q24" s="427"/>
      <c r="R24" s="427"/>
      <c r="S24" s="183"/>
      <c r="T24" s="418" t="s">
        <v>223</v>
      </c>
      <c r="U24" s="183">
        <v>43</v>
      </c>
      <c r="V24" s="183">
        <v>42</v>
      </c>
      <c r="Y24" s="5"/>
      <c r="Z24" s="5"/>
      <c r="AA24" s="5"/>
      <c r="AB24" s="5"/>
      <c r="AC24" s="5"/>
    </row>
    <row r="25" spans="1:29" x14ac:dyDescent="0.25">
      <c r="A25" s="375" t="s">
        <v>34</v>
      </c>
      <c r="B25" s="376"/>
      <c r="C25" s="377"/>
      <c r="D25" s="378"/>
      <c r="E25" s="414"/>
      <c r="F25" s="380">
        <f t="shared" si="1"/>
        <v>0</v>
      </c>
      <c r="G25" s="369"/>
      <c r="H25" s="433"/>
      <c r="I25" s="183"/>
      <c r="J25" s="183"/>
      <c r="K25" s="183"/>
      <c r="L25" s="369"/>
      <c r="M25" s="433"/>
      <c r="N25" s="433"/>
      <c r="O25" s="369"/>
      <c r="P25" s="427"/>
      <c r="Q25" s="427"/>
      <c r="R25" s="427"/>
      <c r="S25" s="183"/>
      <c r="T25" s="183"/>
      <c r="U25" s="183"/>
      <c r="V25" s="183">
        <f>SUM(V18:V24)</f>
        <v>79</v>
      </c>
      <c r="Y25" s="5"/>
      <c r="Z25" s="5"/>
      <c r="AA25" s="5"/>
      <c r="AB25" s="5"/>
      <c r="AC25" s="5"/>
    </row>
    <row r="26" spans="1:29" x14ac:dyDescent="0.25">
      <c r="A26" s="375" t="s">
        <v>58</v>
      </c>
      <c r="B26" s="376">
        <v>43754</v>
      </c>
      <c r="C26" s="377">
        <v>4</v>
      </c>
      <c r="D26" s="378"/>
      <c r="E26" s="414">
        <v>80</v>
      </c>
      <c r="F26" s="380">
        <f t="shared" si="1"/>
        <v>96</v>
      </c>
      <c r="G26" s="369"/>
      <c r="H26" s="369"/>
      <c r="I26" s="369"/>
      <c r="J26" s="183"/>
      <c r="K26" s="183"/>
      <c r="L26" s="369"/>
      <c r="M26" s="369"/>
      <c r="N26" s="369"/>
      <c r="O26" s="427"/>
      <c r="P26" s="427"/>
      <c r="Q26" s="427"/>
      <c r="R26" s="427"/>
      <c r="S26" s="183"/>
      <c r="T26" s="183"/>
      <c r="U26" s="183"/>
      <c r="V26" s="183"/>
      <c r="X26" s="5"/>
      <c r="Y26" s="5"/>
      <c r="Z26" s="5"/>
      <c r="AA26" s="5"/>
      <c r="AB26" s="5"/>
      <c r="AC26" s="5"/>
    </row>
    <row r="27" spans="1:29" x14ac:dyDescent="0.25">
      <c r="A27" s="375" t="s">
        <v>231</v>
      </c>
      <c r="B27" s="376"/>
      <c r="C27" s="377"/>
      <c r="D27" s="378"/>
      <c r="E27" s="414"/>
      <c r="F27" s="380">
        <f t="shared" si="1"/>
        <v>0</v>
      </c>
      <c r="G27" s="369"/>
      <c r="H27" s="183"/>
      <c r="I27" s="183"/>
      <c r="J27" s="183"/>
      <c r="K27" s="183"/>
      <c r="L27" s="369"/>
      <c r="M27" s="369"/>
      <c r="N27" s="427"/>
      <c r="O27" s="427"/>
      <c r="P27" s="427"/>
      <c r="Q27" s="427"/>
      <c r="R27" s="427"/>
      <c r="S27" s="183"/>
      <c r="T27" s="183"/>
      <c r="U27" s="183"/>
      <c r="V27" s="183"/>
      <c r="X27" s="5"/>
      <c r="Y27" s="5"/>
      <c r="Z27" s="5"/>
      <c r="AA27" s="5"/>
      <c r="AB27" s="5"/>
      <c r="AC27" s="5"/>
    </row>
    <row r="28" spans="1:29" x14ac:dyDescent="0.25">
      <c r="A28" s="375" t="s">
        <v>59</v>
      </c>
      <c r="B28" s="376">
        <v>43768</v>
      </c>
      <c r="C28" s="377">
        <v>4</v>
      </c>
      <c r="D28" s="378"/>
      <c r="E28" s="414">
        <v>80</v>
      </c>
      <c r="F28" s="380">
        <f t="shared" si="1"/>
        <v>96</v>
      </c>
      <c r="G28" s="369"/>
      <c r="H28" s="183"/>
      <c r="I28" s="183"/>
      <c r="J28" s="183"/>
      <c r="K28" s="183"/>
      <c r="L28" s="369"/>
      <c r="M28" s="369"/>
      <c r="N28" s="427"/>
      <c r="O28" s="427"/>
      <c r="P28" s="427"/>
      <c r="Q28" s="427"/>
      <c r="R28" s="427"/>
      <c r="S28" s="183"/>
      <c r="T28" s="183"/>
      <c r="U28" s="183"/>
      <c r="V28" s="183"/>
      <c r="X28" s="5"/>
      <c r="Y28" s="5"/>
      <c r="Z28" s="5"/>
      <c r="AA28" s="5"/>
      <c r="AB28" s="5"/>
      <c r="AC28" s="5"/>
    </row>
    <row r="29" spans="1:29" x14ac:dyDescent="0.25">
      <c r="A29" s="375" t="s">
        <v>232</v>
      </c>
      <c r="B29" s="376">
        <v>43768</v>
      </c>
      <c r="C29" s="377">
        <v>2.25</v>
      </c>
      <c r="D29" s="378"/>
      <c r="E29" s="414">
        <v>80</v>
      </c>
      <c r="F29" s="380">
        <f t="shared" si="1"/>
        <v>96</v>
      </c>
      <c r="G29" s="427"/>
      <c r="H29" s="183"/>
      <c r="I29" s="183"/>
      <c r="J29" s="183"/>
      <c r="K29" s="183"/>
      <c r="L29" s="369"/>
      <c r="M29" s="369"/>
      <c r="N29" s="427"/>
      <c r="O29" s="427"/>
      <c r="P29" s="427"/>
      <c r="Q29" s="427"/>
      <c r="R29" s="427"/>
      <c r="S29" s="183"/>
      <c r="T29" s="183"/>
      <c r="U29" s="183"/>
      <c r="V29" s="183"/>
      <c r="X29" s="5"/>
      <c r="Y29" s="5"/>
      <c r="Z29" s="5"/>
      <c r="AA29" s="5"/>
      <c r="AB29" s="5"/>
      <c r="AC29" s="5"/>
    </row>
    <row r="30" spans="1:29" x14ac:dyDescent="0.25">
      <c r="A30" s="375" t="s">
        <v>60</v>
      </c>
      <c r="B30" s="376">
        <v>43789</v>
      </c>
      <c r="C30" s="377">
        <v>2.4</v>
      </c>
      <c r="D30" s="378"/>
      <c r="E30" s="414">
        <v>80</v>
      </c>
      <c r="F30" s="380">
        <f t="shared" si="1"/>
        <v>96</v>
      </c>
      <c r="G30" s="427"/>
      <c r="H30" s="183"/>
      <c r="I30" s="183"/>
      <c r="J30" s="183"/>
      <c r="K30" s="183"/>
      <c r="L30" s="369"/>
      <c r="M30" s="183"/>
      <c r="N30" s="433"/>
      <c r="O30" s="427"/>
      <c r="P30" s="427"/>
      <c r="Q30" s="427"/>
      <c r="R30" s="427"/>
      <c r="S30" s="427"/>
      <c r="T30" s="418"/>
      <c r="U30" s="418"/>
      <c r="V30" s="418"/>
      <c r="W30" s="5"/>
      <c r="X30" s="5"/>
      <c r="Y30" s="5"/>
      <c r="Z30" s="5"/>
      <c r="AA30" s="5"/>
      <c r="AB30" s="5"/>
      <c r="AC30" s="5"/>
    </row>
    <row r="31" spans="1:29" x14ac:dyDescent="0.25">
      <c r="A31" s="375" t="s">
        <v>233</v>
      </c>
      <c r="B31" s="376">
        <v>43728</v>
      </c>
      <c r="C31" s="377">
        <v>1.5</v>
      </c>
      <c r="D31" s="378"/>
      <c r="E31" s="414">
        <v>80</v>
      </c>
      <c r="F31" s="380">
        <f t="shared" si="1"/>
        <v>96</v>
      </c>
      <c r="G31" s="427"/>
      <c r="H31" s="427"/>
      <c r="I31" s="427"/>
      <c r="J31" s="427"/>
      <c r="K31" s="369"/>
      <c r="L31" s="369"/>
      <c r="M31" s="427"/>
      <c r="N31" s="427"/>
      <c r="O31" s="427"/>
      <c r="P31" s="427"/>
      <c r="Q31" s="427"/>
      <c r="R31" s="427"/>
      <c r="S31" s="427"/>
      <c r="T31" s="418"/>
      <c r="U31" s="418"/>
      <c r="V31" s="418"/>
      <c r="W31" s="5"/>
      <c r="X31" s="5"/>
      <c r="Y31" s="5"/>
      <c r="Z31" s="5"/>
      <c r="AA31" s="5"/>
      <c r="AB31" s="5"/>
      <c r="AC31" s="5"/>
    </row>
    <row r="32" spans="1:29" x14ac:dyDescent="0.25">
      <c r="A32" s="375" t="s">
        <v>61</v>
      </c>
      <c r="B32" s="376">
        <v>43802</v>
      </c>
      <c r="C32" s="377">
        <v>4</v>
      </c>
      <c r="D32" s="378"/>
      <c r="E32" s="414">
        <v>70</v>
      </c>
      <c r="F32" s="380">
        <f t="shared" si="1"/>
        <v>84</v>
      </c>
      <c r="G32" s="427"/>
      <c r="H32" s="427"/>
      <c r="I32" s="427"/>
      <c r="J32" s="427" t="str">
        <f>""</f>
        <v/>
      </c>
      <c r="K32" s="369"/>
      <c r="L32" s="369"/>
      <c r="M32" s="427"/>
      <c r="N32" s="427" t="str">
        <f>""</f>
        <v/>
      </c>
      <c r="O32" s="427"/>
      <c r="P32" s="427"/>
      <c r="Q32" s="427"/>
      <c r="R32" s="427"/>
      <c r="S32" s="427"/>
      <c r="T32" s="418"/>
      <c r="U32" s="418"/>
      <c r="V32" s="418"/>
      <c r="W32" s="5"/>
      <c r="X32" s="5"/>
      <c r="Y32" s="5"/>
      <c r="Z32" s="5"/>
      <c r="AA32" s="5"/>
      <c r="AB32" s="5"/>
      <c r="AC32" s="5"/>
    </row>
    <row r="33" spans="1:29" ht="15.75" thickBot="1" x14ac:dyDescent="0.3">
      <c r="A33" s="399" t="s">
        <v>214</v>
      </c>
      <c r="B33" s="400">
        <v>43804</v>
      </c>
      <c r="C33" s="401">
        <v>2.25</v>
      </c>
      <c r="D33" s="402"/>
      <c r="E33" s="434">
        <v>60</v>
      </c>
      <c r="F33" s="403">
        <f t="shared" si="1"/>
        <v>72</v>
      </c>
      <c r="G33" s="427"/>
      <c r="H33" s="427"/>
      <c r="I33" s="427"/>
      <c r="J33" s="427"/>
      <c r="K33" s="369"/>
      <c r="L33" s="369"/>
      <c r="M33" s="427"/>
      <c r="N33" s="427"/>
      <c r="O33" s="427"/>
      <c r="P33" s="427"/>
      <c r="Q33" s="427"/>
      <c r="R33" s="427"/>
      <c r="S33" s="427"/>
      <c r="T33" s="418"/>
      <c r="U33" s="418"/>
      <c r="V33" s="418"/>
      <c r="W33" s="5"/>
      <c r="X33" s="5"/>
      <c r="Y33" s="5"/>
      <c r="Z33" s="5"/>
      <c r="AA33" s="5"/>
      <c r="AB33" s="5"/>
      <c r="AC33" s="5"/>
    </row>
    <row r="34" spans="1:29" ht="15.75" thickTop="1" x14ac:dyDescent="0.25">
      <c r="A34" s="363" t="s">
        <v>6</v>
      </c>
      <c r="B34" s="364">
        <v>43758</v>
      </c>
      <c r="C34" s="365">
        <v>3</v>
      </c>
      <c r="D34" s="366"/>
      <c r="E34" s="367">
        <v>80</v>
      </c>
      <c r="F34" s="368">
        <f>E34*(1+$T$5/100)</f>
        <v>92</v>
      </c>
      <c r="G34" s="427"/>
      <c r="H34" s="427"/>
      <c r="I34" s="427"/>
      <c r="J34" s="427"/>
      <c r="K34" s="369"/>
      <c r="L34" s="369"/>
      <c r="M34" s="427"/>
      <c r="N34" s="427"/>
      <c r="O34" s="427"/>
      <c r="P34" s="427"/>
      <c r="Q34" s="427"/>
      <c r="R34" s="427"/>
      <c r="S34" s="427"/>
      <c r="T34" s="418"/>
      <c r="U34" s="418"/>
      <c r="V34" s="418"/>
      <c r="W34" s="5"/>
      <c r="X34" s="5"/>
      <c r="Y34" s="5"/>
      <c r="Z34" s="5"/>
      <c r="AA34" s="5"/>
      <c r="AB34" s="5"/>
      <c r="AC34" s="5"/>
    </row>
    <row r="35" spans="1:29" x14ac:dyDescent="0.25">
      <c r="A35" s="375" t="s">
        <v>216</v>
      </c>
      <c r="B35" s="376">
        <v>43758</v>
      </c>
      <c r="C35" s="377"/>
      <c r="D35" s="378">
        <v>0.5</v>
      </c>
      <c r="E35" s="379">
        <v>1E-3</v>
      </c>
      <c r="F35" s="380">
        <f t="shared" ref="F35:F45" si="2">E35*(1+$T$9/100)</f>
        <v>1.15E-3</v>
      </c>
      <c r="G35" s="427"/>
      <c r="H35" s="427"/>
      <c r="I35" s="427" t="str">
        <f>""</f>
        <v/>
      </c>
      <c r="J35" s="427"/>
      <c r="K35" s="369"/>
      <c r="L35" s="369"/>
      <c r="M35" s="427"/>
      <c r="N35" s="427"/>
      <c r="O35" s="427"/>
      <c r="P35" s="427"/>
      <c r="Q35" s="427"/>
      <c r="R35" s="427"/>
      <c r="S35" s="427"/>
      <c r="T35" s="418"/>
      <c r="U35" s="418"/>
      <c r="V35" s="418"/>
      <c r="W35" s="5"/>
      <c r="X35" s="5"/>
      <c r="Y35" s="5"/>
      <c r="Z35" s="5"/>
      <c r="AA35" s="5"/>
      <c r="AB35" s="5"/>
      <c r="AC35" s="5"/>
    </row>
    <row r="36" spans="1:29" x14ac:dyDescent="0.25">
      <c r="A36" s="375" t="s">
        <v>7</v>
      </c>
      <c r="B36" s="376">
        <v>43767</v>
      </c>
      <c r="C36" s="377">
        <v>4</v>
      </c>
      <c r="D36" s="378"/>
      <c r="E36" s="414">
        <v>75</v>
      </c>
      <c r="F36" s="380">
        <f t="shared" si="2"/>
        <v>86.25</v>
      </c>
      <c r="G36" s="427"/>
      <c r="H36" s="427"/>
      <c r="I36" s="427"/>
      <c r="J36" s="427"/>
      <c r="K36" s="369"/>
      <c r="L36" s="369"/>
      <c r="M36" s="427"/>
      <c r="N36" s="427"/>
      <c r="O36" s="427"/>
      <c r="P36" s="427"/>
      <c r="Q36" s="427"/>
      <c r="R36" s="427"/>
      <c r="S36" s="427"/>
      <c r="T36" s="418"/>
      <c r="U36" s="418"/>
      <c r="V36" s="418"/>
      <c r="W36" s="5"/>
      <c r="X36" s="5"/>
      <c r="Y36" s="5"/>
      <c r="Z36" s="5"/>
      <c r="AA36" s="5"/>
      <c r="AB36" s="5"/>
      <c r="AC36" s="5"/>
    </row>
    <row r="37" spans="1:29" x14ac:dyDescent="0.25">
      <c r="A37" s="375" t="s">
        <v>215</v>
      </c>
      <c r="B37" s="376">
        <v>43768</v>
      </c>
      <c r="C37" s="377"/>
      <c r="D37" s="378">
        <v>0.5</v>
      </c>
      <c r="E37" s="379">
        <v>1E-3</v>
      </c>
      <c r="F37" s="380">
        <f t="shared" si="2"/>
        <v>1.15E-3</v>
      </c>
      <c r="G37" s="427"/>
      <c r="H37" s="427"/>
      <c r="I37" s="427"/>
      <c r="J37" s="427"/>
      <c r="K37" s="369"/>
      <c r="L37" s="369"/>
      <c r="M37" s="427"/>
      <c r="N37" s="427"/>
      <c r="O37" s="427"/>
      <c r="P37" s="427"/>
      <c r="Q37" s="427"/>
      <c r="R37" s="427"/>
      <c r="S37" s="427"/>
      <c r="T37" s="418"/>
      <c r="U37" s="418"/>
      <c r="V37" s="418"/>
      <c r="W37" s="5"/>
      <c r="X37" s="5"/>
      <c r="Y37" s="5"/>
      <c r="Z37" s="5"/>
      <c r="AA37" s="5"/>
      <c r="AB37" s="5"/>
      <c r="AC37" s="5"/>
    </row>
    <row r="38" spans="1:29" x14ac:dyDescent="0.25">
      <c r="A38" s="375" t="s">
        <v>20</v>
      </c>
      <c r="B38" s="393"/>
      <c r="C38" s="377"/>
      <c r="D38" s="378"/>
      <c r="E38" s="414"/>
      <c r="F38" s="380">
        <f t="shared" si="2"/>
        <v>0</v>
      </c>
      <c r="G38" s="427"/>
      <c r="H38" s="427"/>
      <c r="I38" s="427"/>
      <c r="J38" s="427"/>
      <c r="K38" s="369"/>
      <c r="L38" s="369"/>
      <c r="M38" s="427"/>
      <c r="N38" s="427"/>
      <c r="O38" s="427"/>
      <c r="P38" s="427"/>
      <c r="Q38" s="427"/>
      <c r="R38" s="427"/>
      <c r="S38" s="427"/>
      <c r="T38" s="418"/>
      <c r="U38" s="418"/>
      <c r="V38" s="418"/>
      <c r="W38" s="5"/>
      <c r="X38" s="5"/>
      <c r="Y38" s="5"/>
      <c r="Z38" s="5"/>
      <c r="AA38" s="5"/>
      <c r="AB38" s="5"/>
      <c r="AC38" s="5"/>
    </row>
    <row r="39" spans="1:29" x14ac:dyDescent="0.25">
      <c r="A39" s="375" t="s">
        <v>19</v>
      </c>
      <c r="B39" s="393"/>
      <c r="C39" s="377"/>
      <c r="D39" s="378"/>
      <c r="E39" s="379">
        <v>1E-3</v>
      </c>
      <c r="F39" s="380">
        <f t="shared" si="2"/>
        <v>1.15E-3</v>
      </c>
      <c r="G39" s="427"/>
      <c r="H39" s="427"/>
      <c r="I39" s="427"/>
      <c r="J39" s="427"/>
      <c r="K39" s="427"/>
      <c r="L39" s="427"/>
      <c r="M39" s="427"/>
      <c r="N39" s="427"/>
      <c r="O39" s="427"/>
      <c r="P39" s="427"/>
      <c r="Q39" s="427"/>
      <c r="R39" s="427"/>
      <c r="S39" s="463"/>
      <c r="T39" s="464"/>
      <c r="U39" s="464"/>
      <c r="V39" s="464"/>
      <c r="W39" s="465"/>
      <c r="X39" s="465"/>
      <c r="Y39" s="465"/>
      <c r="Z39" s="5"/>
      <c r="AA39" s="5"/>
      <c r="AB39" s="5"/>
      <c r="AC39" s="5"/>
    </row>
    <row r="40" spans="1:29" x14ac:dyDescent="0.25">
      <c r="A40" s="375" t="s">
        <v>21</v>
      </c>
      <c r="B40" s="393"/>
      <c r="C40" s="377"/>
      <c r="D40" s="378"/>
      <c r="E40" s="414"/>
      <c r="F40" s="380">
        <f t="shared" si="2"/>
        <v>0</v>
      </c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7"/>
      <c r="R40" s="427"/>
      <c r="S40" s="463"/>
      <c r="T40" s="466"/>
      <c r="U40" s="467"/>
      <c r="V40" s="468"/>
      <c r="W40" s="469"/>
      <c r="X40" s="470"/>
      <c r="Y40" s="465"/>
      <c r="Z40" s="5"/>
      <c r="AA40" s="5"/>
      <c r="AB40" s="5"/>
      <c r="AC40" s="5"/>
    </row>
    <row r="41" spans="1:29" x14ac:dyDescent="0.25">
      <c r="A41" s="375" t="s">
        <v>22</v>
      </c>
      <c r="B41" s="393"/>
      <c r="C41" s="377"/>
      <c r="D41" s="378"/>
      <c r="E41" s="379">
        <v>1E-3</v>
      </c>
      <c r="F41" s="380">
        <f t="shared" si="2"/>
        <v>1.15E-3</v>
      </c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7"/>
      <c r="R41" s="427"/>
      <c r="S41" s="463"/>
      <c r="T41" s="466"/>
      <c r="U41" s="467"/>
      <c r="V41" s="468"/>
      <c r="W41" s="469"/>
      <c r="X41" s="471"/>
      <c r="Y41" s="465"/>
      <c r="Z41" s="5"/>
      <c r="AA41" s="5"/>
      <c r="AB41" s="5"/>
      <c r="AC41" s="5"/>
    </row>
    <row r="42" spans="1:29" x14ac:dyDescent="0.25">
      <c r="A42" s="375" t="s">
        <v>23</v>
      </c>
      <c r="B42" s="393"/>
      <c r="C42" s="377"/>
      <c r="D42" s="378"/>
      <c r="E42" s="414"/>
      <c r="F42" s="380">
        <f t="shared" si="2"/>
        <v>0</v>
      </c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63"/>
      <c r="T42" s="466"/>
      <c r="U42" s="467"/>
      <c r="V42" s="468"/>
      <c r="W42" s="469"/>
      <c r="X42" s="471"/>
      <c r="Y42" s="465"/>
      <c r="Z42" s="5"/>
      <c r="AA42" s="5"/>
      <c r="AB42" s="5"/>
      <c r="AC42" s="5"/>
    </row>
    <row r="43" spans="1:29" x14ac:dyDescent="0.25">
      <c r="A43" s="375" t="s">
        <v>24</v>
      </c>
      <c r="B43" s="393"/>
      <c r="C43" s="377"/>
      <c r="D43" s="378"/>
      <c r="E43" s="379">
        <v>1E-3</v>
      </c>
      <c r="F43" s="380">
        <f t="shared" si="2"/>
        <v>1.15E-3</v>
      </c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7"/>
      <c r="R43" s="427"/>
      <c r="S43" s="463"/>
      <c r="T43" s="466"/>
      <c r="U43" s="467"/>
      <c r="V43" s="468"/>
      <c r="W43" s="469"/>
      <c r="X43" s="471"/>
      <c r="Y43" s="465"/>
      <c r="Z43" s="5"/>
      <c r="AA43" s="5"/>
      <c r="AB43" s="5"/>
      <c r="AC43" s="5"/>
    </row>
    <row r="44" spans="1:29" x14ac:dyDescent="0.25">
      <c r="A44" s="375" t="s">
        <v>25</v>
      </c>
      <c r="B44" s="393"/>
      <c r="C44" s="377"/>
      <c r="D44" s="378"/>
      <c r="E44" s="414"/>
      <c r="F44" s="380">
        <f t="shared" si="2"/>
        <v>0</v>
      </c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7"/>
      <c r="R44" s="427"/>
      <c r="S44" s="463"/>
      <c r="T44" s="466"/>
      <c r="U44" s="467"/>
      <c r="V44" s="468"/>
      <c r="W44" s="469"/>
      <c r="X44" s="471"/>
      <c r="Y44" s="465"/>
      <c r="Z44" s="5"/>
      <c r="AA44" s="5"/>
      <c r="AB44" s="5"/>
      <c r="AC44" s="5"/>
    </row>
    <row r="45" spans="1:29" ht="15.75" thickBot="1" x14ac:dyDescent="0.3">
      <c r="A45" s="399" t="s">
        <v>26</v>
      </c>
      <c r="B45" s="435"/>
      <c r="C45" s="401"/>
      <c r="D45" s="402"/>
      <c r="E45" s="379">
        <v>1E-3</v>
      </c>
      <c r="F45" s="403">
        <f t="shared" si="2"/>
        <v>1.15E-3</v>
      </c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7"/>
      <c r="R45" s="427"/>
      <c r="S45" s="463"/>
      <c r="T45" s="466"/>
      <c r="U45" s="467"/>
      <c r="V45" s="468"/>
      <c r="W45" s="469"/>
      <c r="X45" s="471"/>
      <c r="Y45" s="465"/>
      <c r="Z45" s="5"/>
      <c r="AA45" s="5"/>
      <c r="AB45" s="5"/>
      <c r="AC45" s="5"/>
    </row>
    <row r="46" spans="1:29" ht="15.75" thickTop="1" x14ac:dyDescent="0.25">
      <c r="A46" s="363" t="s">
        <v>182</v>
      </c>
      <c r="B46" s="364"/>
      <c r="C46" s="365"/>
      <c r="D46" s="366"/>
      <c r="E46" s="367"/>
      <c r="F46" s="368">
        <f t="shared" ref="F46:F51" si="3">E46*(1+$T$10/100)</f>
        <v>0</v>
      </c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7"/>
      <c r="R46" s="427"/>
      <c r="S46" s="463"/>
      <c r="T46" s="466"/>
      <c r="U46" s="472"/>
      <c r="V46" s="468"/>
      <c r="W46" s="469"/>
      <c r="X46" s="471"/>
      <c r="Y46" s="465"/>
      <c r="Z46" s="5"/>
      <c r="AA46" s="5"/>
      <c r="AB46" s="5"/>
      <c r="AC46" s="5"/>
    </row>
    <row r="47" spans="1:29" x14ac:dyDescent="0.25">
      <c r="A47" s="375" t="s">
        <v>29</v>
      </c>
      <c r="B47" s="393"/>
      <c r="C47" s="377"/>
      <c r="D47" s="378"/>
      <c r="E47" s="414"/>
      <c r="F47" s="380">
        <f t="shared" si="3"/>
        <v>0</v>
      </c>
      <c r="G47" s="427"/>
      <c r="H47" s="427"/>
      <c r="I47" s="427"/>
      <c r="J47" s="427"/>
      <c r="K47" s="427"/>
      <c r="L47" s="427"/>
      <c r="M47" s="427"/>
      <c r="N47" s="427"/>
      <c r="O47" s="427"/>
      <c r="P47" s="427"/>
      <c r="Q47" s="427"/>
      <c r="R47" s="427"/>
      <c r="S47" s="463"/>
      <c r="T47" s="466"/>
      <c r="U47" s="467"/>
      <c r="V47" s="468"/>
      <c r="W47" s="469"/>
      <c r="X47" s="471"/>
      <c r="Y47" s="465"/>
      <c r="Z47" s="5"/>
      <c r="AA47" s="5"/>
      <c r="AB47" s="5"/>
      <c r="AC47" s="5"/>
    </row>
    <row r="48" spans="1:29" x14ac:dyDescent="0.25">
      <c r="A48" s="375" t="s">
        <v>30</v>
      </c>
      <c r="B48" s="393"/>
      <c r="C48" s="377"/>
      <c r="D48" s="378"/>
      <c r="E48" s="414"/>
      <c r="F48" s="380">
        <f t="shared" si="3"/>
        <v>0</v>
      </c>
      <c r="G48" s="427"/>
      <c r="H48" s="427"/>
      <c r="I48" s="427"/>
      <c r="J48" s="427"/>
      <c r="K48" s="427"/>
      <c r="L48" s="427"/>
      <c r="M48" s="427"/>
      <c r="N48" s="427"/>
      <c r="O48" s="427"/>
      <c r="P48" s="427"/>
      <c r="Q48" s="427"/>
      <c r="R48" s="427"/>
      <c r="S48" s="463"/>
      <c r="T48" s="466"/>
      <c r="U48" s="467"/>
      <c r="V48" s="468"/>
      <c r="W48" s="469"/>
      <c r="X48" s="470"/>
      <c r="Y48" s="465"/>
      <c r="Z48" s="5"/>
      <c r="AA48" s="5"/>
      <c r="AB48" s="5"/>
      <c r="AC48" s="5"/>
    </row>
    <row r="49" spans="1:29" x14ac:dyDescent="0.25">
      <c r="A49" s="375" t="s">
        <v>31</v>
      </c>
      <c r="B49" s="393"/>
      <c r="C49" s="377"/>
      <c r="D49" s="378"/>
      <c r="E49" s="414"/>
      <c r="F49" s="380">
        <f t="shared" si="3"/>
        <v>0</v>
      </c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63"/>
      <c r="T49" s="466"/>
      <c r="U49" s="467"/>
      <c r="V49" s="468"/>
      <c r="W49" s="469"/>
      <c r="X49" s="471"/>
      <c r="Y49" s="465"/>
      <c r="Z49" s="5"/>
      <c r="AA49" s="5"/>
      <c r="AB49" s="5"/>
      <c r="AC49" s="5"/>
    </row>
    <row r="50" spans="1:29" x14ac:dyDescent="0.25">
      <c r="A50" s="375" t="s">
        <v>32</v>
      </c>
      <c r="B50" s="393"/>
      <c r="C50" s="377"/>
      <c r="D50" s="378"/>
      <c r="E50" s="414"/>
      <c r="F50" s="380">
        <f t="shared" si="3"/>
        <v>0</v>
      </c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63"/>
      <c r="T50" s="466"/>
      <c r="U50" s="467"/>
      <c r="V50" s="468"/>
      <c r="W50" s="469"/>
      <c r="X50" s="470"/>
      <c r="Y50" s="465"/>
      <c r="Z50" s="5"/>
      <c r="AA50" s="5"/>
      <c r="AB50" s="5"/>
      <c r="AC50" s="5"/>
    </row>
    <row r="51" spans="1:29" ht="15.75" thickBot="1" x14ac:dyDescent="0.3">
      <c r="A51" s="399" t="s">
        <v>33</v>
      </c>
      <c r="B51" s="435"/>
      <c r="C51" s="401"/>
      <c r="D51" s="402"/>
      <c r="E51" s="434"/>
      <c r="F51" s="403">
        <f t="shared" si="3"/>
        <v>0</v>
      </c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7"/>
      <c r="R51" s="427"/>
      <c r="S51" s="463"/>
      <c r="T51" s="466"/>
      <c r="U51" s="467"/>
      <c r="V51" s="468"/>
      <c r="W51" s="469"/>
      <c r="X51" s="471"/>
      <c r="Y51" s="465"/>
      <c r="Z51" s="5"/>
      <c r="AA51" s="5"/>
      <c r="AB51" s="5"/>
      <c r="AC51" s="5"/>
    </row>
    <row r="52" spans="1:29" ht="16.5" thickTop="1" thickBot="1" x14ac:dyDescent="0.3">
      <c r="A52" s="436" t="s">
        <v>27</v>
      </c>
      <c r="B52" s="437"/>
      <c r="C52" s="438">
        <f>SUM(C2:C51)</f>
        <v>100</v>
      </c>
      <c r="D52" s="439"/>
      <c r="E52" s="440"/>
      <c r="F52" s="441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73"/>
      <c r="T52" s="466"/>
      <c r="U52" s="467"/>
      <c r="V52" s="468"/>
      <c r="W52" s="469"/>
      <c r="X52" s="470"/>
      <c r="Y52" s="465"/>
      <c r="Z52" s="5"/>
      <c r="AA52" s="5"/>
      <c r="AB52" s="5"/>
      <c r="AC52" s="5"/>
    </row>
    <row r="53" spans="1:29" ht="16.5" thickTop="1" thickBot="1" x14ac:dyDescent="0.3">
      <c r="A53" s="443" t="s">
        <v>28</v>
      </c>
      <c r="B53" s="444"/>
      <c r="C53" s="445"/>
      <c r="D53" s="446">
        <f>SUM(D2:D52)</f>
        <v>5</v>
      </c>
      <c r="E53" s="440"/>
      <c r="F53" s="441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42"/>
      <c r="S53" s="473"/>
      <c r="T53" s="466"/>
      <c r="U53" s="467"/>
      <c r="V53" s="468"/>
      <c r="W53" s="469"/>
      <c r="X53" s="471"/>
      <c r="Y53" s="465"/>
      <c r="Z53" s="5"/>
      <c r="AA53" s="5"/>
      <c r="AB53" s="5"/>
      <c r="AC53" s="5"/>
    </row>
    <row r="54" spans="1:29" ht="16.5" thickTop="1" thickBot="1" x14ac:dyDescent="0.3">
      <c r="A54" s="447" t="s">
        <v>8</v>
      </c>
      <c r="B54" s="448"/>
      <c r="C54" s="449">
        <f>C52+D53</f>
        <v>105</v>
      </c>
      <c r="D54" s="450"/>
      <c r="E54" s="451"/>
      <c r="F54" s="452"/>
      <c r="G54" s="442"/>
      <c r="H54" s="442"/>
      <c r="I54" s="442"/>
      <c r="J54" s="442"/>
      <c r="K54" s="442"/>
      <c r="L54" s="442"/>
      <c r="M54" s="442"/>
      <c r="N54" s="442"/>
      <c r="O54" s="442"/>
      <c r="P54" s="442"/>
      <c r="Q54" s="442"/>
      <c r="R54" s="442"/>
      <c r="S54" s="473"/>
      <c r="T54" s="466"/>
      <c r="U54" s="472"/>
      <c r="V54" s="468"/>
      <c r="W54" s="469"/>
      <c r="X54" s="470"/>
      <c r="Y54" s="465"/>
      <c r="Z54" s="5"/>
      <c r="AA54" s="5"/>
      <c r="AB54" s="5"/>
      <c r="AC54" s="5"/>
    </row>
    <row r="55" spans="1:29" ht="15.75" thickTop="1" x14ac:dyDescent="0.25">
      <c r="S55" s="244"/>
      <c r="T55" s="466"/>
      <c r="U55" s="467"/>
      <c r="V55" s="468"/>
      <c r="W55" s="469"/>
      <c r="X55" s="471"/>
      <c r="Y55" s="244"/>
    </row>
    <row r="56" spans="1:29" x14ac:dyDescent="0.25">
      <c r="S56" s="244"/>
      <c r="T56" s="466"/>
      <c r="U56" s="467"/>
      <c r="V56" s="468"/>
      <c r="W56" s="469"/>
      <c r="X56" s="470"/>
      <c r="Y56" s="244"/>
    </row>
    <row r="57" spans="1:29" x14ac:dyDescent="0.25">
      <c r="S57" s="244"/>
      <c r="T57" s="466"/>
      <c r="U57" s="467"/>
      <c r="V57" s="468"/>
      <c r="W57" s="469"/>
      <c r="X57" s="471"/>
      <c r="Y57" s="244"/>
    </row>
    <row r="58" spans="1:29" x14ac:dyDescent="0.25">
      <c r="S58" s="244"/>
      <c r="T58" s="466"/>
      <c r="U58" s="467"/>
      <c r="V58" s="468"/>
      <c r="W58" s="469"/>
      <c r="X58" s="470"/>
      <c r="Y58" s="244"/>
    </row>
    <row r="59" spans="1:29" x14ac:dyDescent="0.25">
      <c r="S59" s="244"/>
      <c r="T59" s="466"/>
      <c r="U59" s="472"/>
      <c r="V59" s="468"/>
      <c r="W59" s="469"/>
      <c r="X59" s="471"/>
      <c r="Y59" s="244"/>
    </row>
    <row r="60" spans="1:29" x14ac:dyDescent="0.25">
      <c r="S60" s="244"/>
      <c r="T60" s="466"/>
      <c r="U60" s="467"/>
      <c r="V60" s="468"/>
      <c r="W60" s="469"/>
      <c r="X60" s="470"/>
      <c r="Y60" s="244"/>
    </row>
    <row r="61" spans="1:29" x14ac:dyDescent="0.25">
      <c r="S61" s="244"/>
      <c r="T61" s="466"/>
      <c r="U61" s="467"/>
      <c r="V61" s="468"/>
      <c r="W61" s="469"/>
      <c r="X61" s="471"/>
      <c r="Y61" s="244"/>
    </row>
    <row r="62" spans="1:29" x14ac:dyDescent="0.25">
      <c r="S62" s="244"/>
      <c r="T62" s="466"/>
      <c r="U62" s="467"/>
      <c r="V62" s="468"/>
      <c r="W62" s="469"/>
      <c r="X62" s="470"/>
      <c r="Y62" s="244"/>
    </row>
    <row r="63" spans="1:29" x14ac:dyDescent="0.25">
      <c r="S63" s="244"/>
      <c r="T63" s="466"/>
      <c r="U63" s="467"/>
      <c r="V63" s="468"/>
      <c r="W63" s="469"/>
      <c r="X63" s="470"/>
      <c r="Y63" s="244"/>
    </row>
    <row r="64" spans="1:29" x14ac:dyDescent="0.25">
      <c r="S64" s="244"/>
      <c r="T64" s="466"/>
      <c r="U64" s="467"/>
      <c r="V64" s="468"/>
      <c r="W64" s="469"/>
      <c r="X64" s="470"/>
      <c r="Y64" s="244"/>
    </row>
    <row r="65" spans="19:25" x14ac:dyDescent="0.25">
      <c r="S65" s="244"/>
      <c r="T65" s="466"/>
      <c r="U65" s="467"/>
      <c r="V65" s="468"/>
      <c r="W65" s="469"/>
      <c r="X65" s="470"/>
      <c r="Y65" s="244"/>
    </row>
    <row r="66" spans="19:25" x14ac:dyDescent="0.25">
      <c r="S66" s="244"/>
      <c r="T66" s="466"/>
      <c r="U66" s="467"/>
      <c r="V66" s="468"/>
      <c r="W66" s="469"/>
      <c r="X66" s="470"/>
      <c r="Y66" s="244"/>
    </row>
    <row r="67" spans="19:25" x14ac:dyDescent="0.25">
      <c r="S67" s="244"/>
      <c r="T67" s="466"/>
      <c r="U67" s="467"/>
      <c r="V67" s="468"/>
      <c r="W67" s="469"/>
      <c r="X67" s="470"/>
      <c r="Y67" s="244"/>
    </row>
    <row r="68" spans="19:25" x14ac:dyDescent="0.25">
      <c r="S68" s="244"/>
      <c r="T68" s="466"/>
      <c r="U68" s="467"/>
      <c r="V68" s="468"/>
      <c r="W68" s="469"/>
      <c r="X68" s="470"/>
      <c r="Y68" s="244"/>
    </row>
    <row r="69" spans="19:25" x14ac:dyDescent="0.25">
      <c r="S69" s="244"/>
      <c r="T69" s="466"/>
      <c r="U69" s="467"/>
      <c r="V69" s="468"/>
      <c r="W69" s="469"/>
      <c r="X69" s="470"/>
      <c r="Y69" s="244"/>
    </row>
    <row r="70" spans="19:25" x14ac:dyDescent="0.25">
      <c r="S70" s="244"/>
      <c r="T70" s="466"/>
      <c r="U70" s="467"/>
      <c r="V70" s="468"/>
      <c r="W70" s="469"/>
      <c r="X70" s="470"/>
      <c r="Y70" s="244"/>
    </row>
    <row r="71" spans="19:25" x14ac:dyDescent="0.25">
      <c r="S71" s="244"/>
      <c r="T71" s="466"/>
      <c r="U71" s="467"/>
      <c r="V71" s="468"/>
      <c r="W71" s="469"/>
      <c r="X71" s="470"/>
      <c r="Y71" s="244"/>
    </row>
    <row r="72" spans="19:25" x14ac:dyDescent="0.25">
      <c r="S72" s="244"/>
      <c r="T72" s="466"/>
      <c r="U72" s="467"/>
      <c r="V72" s="468"/>
      <c r="W72" s="469"/>
      <c r="X72" s="470"/>
      <c r="Y72" s="244"/>
    </row>
    <row r="73" spans="19:25" x14ac:dyDescent="0.25">
      <c r="S73" s="244"/>
      <c r="T73" s="466"/>
      <c r="U73" s="467"/>
      <c r="V73" s="468"/>
      <c r="W73" s="469"/>
      <c r="X73" s="471"/>
      <c r="Y73" s="244"/>
    </row>
    <row r="74" spans="19:25" x14ac:dyDescent="0.25">
      <c r="S74" s="244"/>
      <c r="T74" s="466"/>
      <c r="U74" s="467"/>
      <c r="V74" s="468"/>
      <c r="W74" s="469"/>
      <c r="X74" s="470"/>
      <c r="Y74" s="244"/>
    </row>
    <row r="75" spans="19:25" x14ac:dyDescent="0.25">
      <c r="S75" s="244"/>
      <c r="T75" s="466"/>
      <c r="U75" s="467"/>
      <c r="V75" s="468"/>
      <c r="W75" s="469"/>
      <c r="X75" s="471"/>
      <c r="Y75" s="244"/>
    </row>
    <row r="76" spans="19:25" x14ac:dyDescent="0.25">
      <c r="S76" s="244"/>
      <c r="T76" s="244"/>
      <c r="U76" s="244"/>
      <c r="V76" s="244"/>
      <c r="W76" s="244"/>
      <c r="X76" s="244"/>
      <c r="Y76" s="244"/>
    </row>
    <row r="77" spans="19:25" x14ac:dyDescent="0.25">
      <c r="S77" s="244"/>
      <c r="T77" s="244"/>
      <c r="U77" s="244"/>
      <c r="V77" s="244"/>
      <c r="W77" s="244"/>
      <c r="X77" s="244"/>
      <c r="Y77" s="244"/>
    </row>
    <row r="78" spans="19:25" x14ac:dyDescent="0.25">
      <c r="S78" s="244"/>
      <c r="T78" s="244"/>
      <c r="U78" s="244"/>
      <c r="V78" s="244"/>
      <c r="W78" s="244"/>
      <c r="X78" s="244"/>
      <c r="Y78" s="244"/>
    </row>
    <row r="79" spans="19:25" x14ac:dyDescent="0.25">
      <c r="S79" s="244"/>
      <c r="T79" s="244"/>
      <c r="U79" s="244"/>
      <c r="V79" s="244"/>
      <c r="W79" s="244"/>
      <c r="X79" s="244"/>
      <c r="Y79" s="244"/>
    </row>
  </sheetData>
  <sheetProtection sheet="1" objects="1" scenarios="1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>
                <anchor moveWithCells="1" sizeWithCells="1">
                  <from>
                    <xdr:col>6</xdr:col>
                    <xdr:colOff>161925</xdr:colOff>
                    <xdr:row>1</xdr:row>
                    <xdr:rowOff>9525</xdr:rowOff>
                  </from>
                  <to>
                    <xdr:col>11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UnlockSheets">
                <anchor moveWithCells="1" sizeWithCells="1">
                  <from>
                    <xdr:col>11</xdr:col>
                    <xdr:colOff>314325</xdr:colOff>
                    <xdr:row>27</xdr:row>
                    <xdr:rowOff>28575</xdr:rowOff>
                  </from>
                  <to>
                    <xdr:col>18</xdr:col>
                    <xdr:colOff>190500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LockSheets">
                <anchor moveWithCells="1" sizeWithCells="1">
                  <from>
                    <xdr:col>7</xdr:col>
                    <xdr:colOff>0</xdr:colOff>
                    <xdr:row>27</xdr:row>
                    <xdr:rowOff>47625</xdr:rowOff>
                  </from>
                  <to>
                    <xdr:col>11</xdr:col>
                    <xdr:colOff>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ResetQuestionMarks">
                <anchor moveWithCells="1" sizeWithCells="1">
                  <from>
                    <xdr:col>7</xdr:col>
                    <xdr:colOff>0</xdr:colOff>
                    <xdr:row>22</xdr:row>
                    <xdr:rowOff>38100</xdr:rowOff>
                  </from>
                  <to>
                    <xdr:col>11</xdr:col>
                    <xdr:colOff>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InstructorResetStudentPerformance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18</xdr:col>
                    <xdr:colOff>190500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Button 12">
              <controlPr defaultSize="0" print="0" autoFill="0" autoPict="0" macro="[0]!ClickToCleanStudentDisplay">
                <anchor moveWithCells="1" sizeWithCells="1">
                  <from>
                    <xdr:col>12</xdr:col>
                    <xdr:colOff>28575</xdr:colOff>
                    <xdr:row>22</xdr:row>
                    <xdr:rowOff>28575</xdr:rowOff>
                  </from>
                  <to>
                    <xdr:col>18</xdr:col>
                    <xdr:colOff>190500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MoveReorderedCalculation">
                <anchor moveWithCells="1" sizeWithCells="1">
                  <from>
                    <xdr:col>7</xdr:col>
                    <xdr:colOff>28575</xdr:colOff>
                    <xdr:row>17</xdr:row>
                    <xdr:rowOff>9525</xdr:rowOff>
                  </from>
                  <to>
                    <xdr:col>11</xdr:col>
                    <xdr:colOff>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LockSheetsWithPassword">
                <anchor moveWithCells="1" siz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DoHideOfCalculations">
                <anchor moveWithCells="1" sizeWithCells="1">
                  <from>
                    <xdr:col>19</xdr:col>
                    <xdr:colOff>28575</xdr:colOff>
                    <xdr:row>27</xdr:row>
                    <xdr:rowOff>0</xdr:rowOff>
                  </from>
                  <to>
                    <xdr:col>21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DoUnHideOfCalculations">
                <anchor moveWithCells="1" sizeWithCells="1">
                  <from>
                    <xdr:col>19</xdr:col>
                    <xdr:colOff>28575</xdr:colOff>
                    <xdr:row>31</xdr:row>
                    <xdr:rowOff>0</xdr:rowOff>
                  </from>
                  <to>
                    <xdr:col>21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AA57"/>
  <sheetViews>
    <sheetView zoomScale="90" zoomScaleNormal="9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F5" sqref="F5"/>
    </sheetView>
  </sheetViews>
  <sheetFormatPr defaultColWidth="8.85546875" defaultRowHeight="15" x14ac:dyDescent="0.25"/>
  <cols>
    <col min="1" max="1" width="22.42578125" customWidth="1"/>
    <col min="2" max="2" width="10" bestFit="1" customWidth="1"/>
    <col min="3" max="3" width="6.5703125" customWidth="1"/>
    <col min="4" max="4" width="6.28515625" customWidth="1"/>
    <col min="5" max="5" width="7.140625" customWidth="1"/>
    <col min="6" max="6" width="5.7109375" customWidth="1"/>
    <col min="7" max="7" width="7.42578125" customWidth="1"/>
    <col min="8" max="8" width="6.85546875" customWidth="1"/>
    <col min="9" max="9" width="6" customWidth="1"/>
    <col min="10" max="10" width="6.7109375" customWidth="1"/>
    <col min="11" max="11" width="6.42578125" customWidth="1"/>
    <col min="14" max="14" width="8.7109375" customWidth="1"/>
    <col min="27" max="27" width="9.140625" customWidth="1"/>
  </cols>
  <sheetData>
    <row r="1" spans="1:27" ht="31.5" x14ac:dyDescent="0.5">
      <c r="A1" s="47" t="s">
        <v>151</v>
      </c>
      <c r="B1" s="48"/>
      <c r="C1" s="48"/>
      <c r="D1" s="214"/>
      <c r="E1" s="5"/>
      <c r="F1" s="5"/>
      <c r="G1" s="5"/>
      <c r="H1" s="19"/>
      <c r="I1" s="5"/>
      <c r="J1" s="19"/>
      <c r="K1" s="5"/>
      <c r="L1" s="5"/>
      <c r="M1" s="5"/>
    </row>
    <row r="2" spans="1:27" x14ac:dyDescent="0.25">
      <c r="A2" s="6"/>
      <c r="B2" s="6"/>
      <c r="C2" s="6"/>
      <c r="D2" s="6"/>
      <c r="E2" s="6"/>
      <c r="F2" s="6"/>
      <c r="G2" s="6"/>
      <c r="H2" s="5"/>
      <c r="I2" s="5"/>
      <c r="J2" s="5"/>
      <c r="K2" s="5"/>
      <c r="L2" s="5"/>
      <c r="M2" s="5"/>
    </row>
    <row r="3" spans="1:27" ht="15.75" thickBot="1" x14ac:dyDescent="0.3">
      <c r="A3" s="6"/>
      <c r="B3" s="6"/>
      <c r="C3" s="6"/>
      <c r="D3" s="6"/>
      <c r="E3" s="6"/>
      <c r="F3" s="6"/>
      <c r="G3" s="6"/>
      <c r="H3" s="5"/>
      <c r="I3" s="5"/>
      <c r="J3" s="5"/>
      <c r="K3" s="5"/>
      <c r="L3" s="5"/>
      <c r="M3" s="5"/>
    </row>
    <row r="4" spans="1:27" ht="57" customHeight="1" thickTop="1" thickBot="1" x14ac:dyDescent="0.3">
      <c r="A4" s="341" t="str">
        <f>'Reordered Course Information'!A3</f>
        <v>Course Components</v>
      </c>
      <c r="B4" s="341" t="str">
        <f>'Reordered Course Information'!B3</f>
        <v>Approximate Completion Date</v>
      </c>
      <c r="C4" s="341" t="str">
        <f>'Reordered Course Information'!C3</f>
        <v>Course Percentage</v>
      </c>
      <c r="D4" s="341" t="str">
        <f>'Reordered Course Information'!D3</f>
        <v>Bonus Percentage</v>
      </c>
      <c r="E4" s="341" t="str">
        <f>'Reordered Course Information'!E3</f>
        <v>2017 Rough class average</v>
      </c>
      <c r="F4" s="341" t="str">
        <f>'Reordered Course Information'!F3</f>
        <v>Predicted Mark</v>
      </c>
      <c r="G4" s="280" t="s">
        <v>76</v>
      </c>
      <c r="H4" s="281" t="s">
        <v>67</v>
      </c>
      <c r="I4" s="282" t="s">
        <v>68</v>
      </c>
      <c r="J4" s="282" t="s">
        <v>69</v>
      </c>
      <c r="K4" s="282" t="s">
        <v>70</v>
      </c>
      <c r="L4" s="283" t="s">
        <v>147</v>
      </c>
      <c r="M4" s="281" t="s">
        <v>77</v>
      </c>
      <c r="N4" s="282" t="s">
        <v>71</v>
      </c>
      <c r="O4" s="282" t="s">
        <v>72</v>
      </c>
      <c r="P4" s="283" t="s">
        <v>146</v>
      </c>
      <c r="Q4" s="281" t="s">
        <v>78</v>
      </c>
      <c r="R4" s="282" t="s">
        <v>73</v>
      </c>
      <c r="S4" s="282" t="s">
        <v>74</v>
      </c>
      <c r="T4" s="283" t="s">
        <v>148</v>
      </c>
      <c r="U4" s="281" t="s">
        <v>79</v>
      </c>
      <c r="V4" s="282" t="s">
        <v>80</v>
      </c>
      <c r="W4" s="282" t="s">
        <v>81</v>
      </c>
      <c r="X4" s="283" t="s">
        <v>149</v>
      </c>
      <c r="Y4" s="284" t="s">
        <v>75</v>
      </c>
    </row>
    <row r="5" spans="1:27" ht="16.5" thickTop="1" thickBot="1" x14ac:dyDescent="0.3">
      <c r="A5" s="37" t="str">
        <f>'Reordered Course Information'!A4</f>
        <v>PreLab 0 Report/Demo</v>
      </c>
      <c r="B5" s="38">
        <f>'Reordered Course Information'!B4</f>
        <v>43728</v>
      </c>
      <c r="C5" s="37">
        <f>'Reordered Course Information'!C4</f>
        <v>1.5</v>
      </c>
      <c r="D5" s="37">
        <f>'Reordered Course Information'!D4</f>
        <v>0</v>
      </c>
      <c r="E5" s="37">
        <f>'Reordered Course Information'!E4</f>
        <v>80</v>
      </c>
      <c r="F5" s="37">
        <f>'Reordered Course Information'!F4</f>
        <v>96</v>
      </c>
      <c r="G5" s="30">
        <f>C5</f>
        <v>1.5</v>
      </c>
      <c r="H5" s="26">
        <f>E5*C5/100</f>
        <v>1.2</v>
      </c>
      <c r="I5" s="27">
        <f>H5</f>
        <v>1.2</v>
      </c>
      <c r="J5" s="27">
        <f>F5*C5/100</f>
        <v>1.44</v>
      </c>
      <c r="K5" s="27">
        <f>J5</f>
        <v>1.44</v>
      </c>
      <c r="L5" s="28" t="str">
        <f>IF($F5=0,"",VLOOKUP(F5,'Instructor Course Information'!$M$2:$N$16,2))</f>
        <v>A+</v>
      </c>
      <c r="M5" s="32">
        <f>Planning!G4</f>
        <v>100</v>
      </c>
      <c r="N5" s="27">
        <f>(IF(Planning!G4="????",F5,IF(M5="",0,M5))*(C5+D5)/100)</f>
        <v>1.5</v>
      </c>
      <c r="O5" s="27">
        <f>N5</f>
        <v>1.5</v>
      </c>
      <c r="P5" s="28" t="str">
        <f>IF($F5=0,"",IF(M5="????", L5,VLOOKUP(M5,'Instructor Course Information'!$M$2:$N$16,2)))</f>
        <v>A+</v>
      </c>
      <c r="Q5" s="29">
        <f>Tracking!H4</f>
        <v>100</v>
      </c>
      <c r="R5" s="27">
        <f>IF(Tracking!H4="????",IF(Planning!G4="????",F5,IF(Planning!G4="",0,Planning!G4)),IF(Tracking!H4="",0,Tracking!H4))*(C5+D5)/100</f>
        <v>1.5</v>
      </c>
      <c r="S5" s="27">
        <f t="shared" ref="S5" si="0">R5</f>
        <v>1.5</v>
      </c>
      <c r="T5" s="33" t="str">
        <f>IF($F5=0,"",IF(Q5="????", P5,VLOOKUP(Q5,'Instructor Course Information'!$M$2:$N$16,2)))</f>
        <v>A+</v>
      </c>
      <c r="U5" s="36" t="str">
        <f>Desired!I6</f>
        <v>????</v>
      </c>
      <c r="V5" s="27">
        <f>IF(Desired!I6="",'Instructor Calculations'!R5,     IF(Desired!I6="????",       IF(Tracking!H4="????",     IF(Planning!G4="????",'Instructor Calculations'!F5, Planning!G4),   Tracking!H4),      Desired!I6))*(C5+D5)/100</f>
        <v>1.5</v>
      </c>
      <c r="W5" s="27">
        <f>V5</f>
        <v>1.5</v>
      </c>
      <c r="X5" s="28" t="str">
        <f>IF($F5=0,"",IF(U5="????", T5,VLOOKUP(U5,'Instructor Course Information'!$M$2:$N$16,2)))</f>
        <v>A+</v>
      </c>
      <c r="Y5" s="35" t="str">
        <f>IF('Instructor Calculations'!$B5="","","????")</f>
        <v>????</v>
      </c>
    </row>
    <row r="6" spans="1:27" ht="16.5" thickTop="1" thickBot="1" x14ac:dyDescent="0.3">
      <c r="A6" s="37" t="str">
        <f>'Reordered Course Information'!A5</f>
        <v>Initial EMA Submit</v>
      </c>
      <c r="B6" s="38">
        <f>'Reordered Course Information'!B5</f>
        <v>43740</v>
      </c>
      <c r="C6" s="37">
        <f>'Reordered Course Information'!C5</f>
        <v>2</v>
      </c>
      <c r="D6" s="37">
        <f>'Reordered Course Information'!D5</f>
        <v>0</v>
      </c>
      <c r="E6" s="37">
        <f>'Reordered Course Information'!E5</f>
        <v>75</v>
      </c>
      <c r="F6" s="37">
        <f>'Reordered Course Information'!F5</f>
        <v>86.25</v>
      </c>
      <c r="G6" s="30">
        <f>C6+G5</f>
        <v>3.5</v>
      </c>
      <c r="H6" s="26">
        <f t="shared" ref="H6:H19" si="1">E6*C6/100</f>
        <v>1.5</v>
      </c>
      <c r="I6" s="27">
        <f>H6+I5</f>
        <v>2.7</v>
      </c>
      <c r="J6" s="27">
        <f t="shared" ref="J6:J19" si="2">F6*C6/100</f>
        <v>1.7250000000000001</v>
      </c>
      <c r="K6" s="27">
        <f>J6+K5</f>
        <v>3.165</v>
      </c>
      <c r="L6" s="28" t="str">
        <f>IF($F6=0,"",VLOOKUP(F6,'Instructor Course Information'!$M$2:$N$16,2))</f>
        <v>A-/A/A+</v>
      </c>
      <c r="M6" s="32">
        <f>Planning!G5</f>
        <v>100</v>
      </c>
      <c r="N6" s="27">
        <f>(IF(Planning!G5="????",F6,IF(M6="",0,M6))*(C6+D6)/100)</f>
        <v>2</v>
      </c>
      <c r="O6" s="27">
        <f>N6+O5</f>
        <v>3.5</v>
      </c>
      <c r="P6" s="28" t="str">
        <f>IF($F6=0,"",IF(M6="????", L6,VLOOKUP(M6,'Instructor Course Information'!$M$2:$N$16,2)))</f>
        <v>A+</v>
      </c>
      <c r="Q6" s="29">
        <f>Tracking!H5</f>
        <v>100</v>
      </c>
      <c r="R6" s="27">
        <f>IF(Tracking!H5="????",IF(Planning!G5="????",F6,IF(Planning!G5="",0,Planning!G5)),IF(Tracking!H5="",0,Tracking!H5))*(C6+D6)/100</f>
        <v>2</v>
      </c>
      <c r="S6" s="27">
        <f>R6+S5</f>
        <v>3.5</v>
      </c>
      <c r="T6" s="33" t="str">
        <f>IF($F6=0,"",IF(Q6="????", P6,VLOOKUP(Q6,'Instructor Course Information'!$M$2:$N$16,2)))</f>
        <v>A+</v>
      </c>
      <c r="U6" s="36" t="str">
        <f>Desired!I7</f>
        <v>????</v>
      </c>
      <c r="V6" s="27">
        <f>IF(Desired!I7="",'Instructor Calculations'!R6,     IF(Desired!I7="????",       IF(Tracking!H5="????",     IF(Planning!G5="????",'Instructor Calculations'!F6, Planning!G5),   Tracking!H5),      Desired!I7))*(C6+D6)/100</f>
        <v>2</v>
      </c>
      <c r="W6" s="27">
        <f>V6+W5</f>
        <v>3.5</v>
      </c>
      <c r="X6" s="28" t="str">
        <f>IF($F6=0,"",IF(U6="????", T6,VLOOKUP(U6,'Instructor Course Information'!$M$2:$N$16,2)))</f>
        <v>A+</v>
      </c>
      <c r="Y6" s="35" t="str">
        <f>IF('Instructor Calculations'!$B6="","","????")</f>
        <v>????</v>
      </c>
    </row>
    <row r="7" spans="1:27" ht="16.5" thickTop="1" thickBot="1" x14ac:dyDescent="0.3">
      <c r="A7" s="37" t="str">
        <f>'Reordered Course Information'!A6</f>
        <v>Lab 0 Demo</v>
      </c>
      <c r="B7" s="38">
        <f>'Reordered Course Information'!B6</f>
        <v>43740</v>
      </c>
      <c r="C7" s="37">
        <f>'Reordered Course Information'!C6</f>
        <v>1.6</v>
      </c>
      <c r="D7" s="37">
        <f>'Reordered Course Information'!D6</f>
        <v>0</v>
      </c>
      <c r="E7" s="37">
        <f>'Reordered Course Information'!E6</f>
        <v>80</v>
      </c>
      <c r="F7" s="37">
        <f>'Reordered Course Information'!F6</f>
        <v>96</v>
      </c>
      <c r="G7" s="30">
        <f t="shared" ref="G7:G54" si="3">C7+G6</f>
        <v>5.0999999999999996</v>
      </c>
      <c r="H7" s="26">
        <f t="shared" si="1"/>
        <v>1.28</v>
      </c>
      <c r="I7" s="27">
        <f t="shared" ref="I7:I19" si="4">H7+I6</f>
        <v>3.9800000000000004</v>
      </c>
      <c r="J7" s="27">
        <f t="shared" si="2"/>
        <v>1.5360000000000003</v>
      </c>
      <c r="K7" s="27">
        <f t="shared" ref="K7:K54" si="5">J7+K6</f>
        <v>4.7010000000000005</v>
      </c>
      <c r="L7" s="28" t="str">
        <f>IF($F7=0,"",VLOOKUP(F7,'Instructor Course Information'!$M$2:$N$16,2))</f>
        <v>A+</v>
      </c>
      <c r="M7" s="32">
        <f>Planning!G6</f>
        <v>100</v>
      </c>
      <c r="N7" s="27">
        <f>(IF(Planning!G6="????",F7,IF(M7="",0,M7))*(C7+D7)/100)</f>
        <v>1.6</v>
      </c>
      <c r="O7" s="27">
        <f t="shared" ref="O7:O54" si="6">N7+O6</f>
        <v>5.0999999999999996</v>
      </c>
      <c r="P7" s="28" t="str">
        <f>IF($F7=0,"",IF(M7="????", L7,VLOOKUP(M7,'Instructor Course Information'!$M$2:$N$16,2)))</f>
        <v>A+</v>
      </c>
      <c r="Q7" s="29">
        <f>Tracking!H6</f>
        <v>100</v>
      </c>
      <c r="R7" s="27">
        <f>IF(Tracking!H6="????",IF(Planning!G6="????",F7,IF(Planning!G6="",0,Planning!G6)),IF(Tracking!H6="",0,Tracking!H6))*(C7+D7)/100</f>
        <v>1.6</v>
      </c>
      <c r="S7" s="27">
        <f t="shared" ref="S7:S54" si="7">R7+S6</f>
        <v>5.0999999999999996</v>
      </c>
      <c r="T7" s="33" t="str">
        <f>IF($F7=0,"",IF(Q7="????", P7,VLOOKUP(Q7,'Instructor Course Information'!$M$2:$N$16,2)))</f>
        <v>A+</v>
      </c>
      <c r="U7" s="36" t="str">
        <f>Desired!I8</f>
        <v>????</v>
      </c>
      <c r="V7" s="27">
        <f>IF(Desired!I8="",'Instructor Calculations'!R7,     IF(Desired!I8="????",       IF(Tracking!H6="????",     IF(Planning!G6="????",'Instructor Calculations'!F7, Planning!G6),   Tracking!H6),      Desired!I8))*(C7+D7)/100</f>
        <v>1.6</v>
      </c>
      <c r="W7" s="27">
        <f t="shared" ref="W7:W54" si="8">V7+W6</f>
        <v>5.0999999999999996</v>
      </c>
      <c r="X7" s="28" t="str">
        <f>IF($F7=0,"",IF(U7="????", T7,VLOOKUP(U7,'Instructor Course Information'!$M$2:$N$16,2)))</f>
        <v>A+</v>
      </c>
      <c r="Y7" s="35" t="str">
        <f>IF('Instructor Calculations'!$B7="","","????")</f>
        <v>????</v>
      </c>
    </row>
    <row r="8" spans="1:27" ht="16.5" thickTop="1" thickBot="1" x14ac:dyDescent="0.3">
      <c r="A8" s="37" t="str">
        <f>'Reordered Course Information'!A7</f>
        <v>Quiz 1</v>
      </c>
      <c r="B8" s="38">
        <f>'Reordered Course Information'!B7</f>
        <v>43752</v>
      </c>
      <c r="C8" s="37">
        <f>'Reordered Course Information'!C7</f>
        <v>4</v>
      </c>
      <c r="D8" s="37">
        <f>'Reordered Course Information'!D7</f>
        <v>0</v>
      </c>
      <c r="E8" s="37">
        <f>'Reordered Course Information'!E7</f>
        <v>65</v>
      </c>
      <c r="F8" s="37">
        <f>'Reordered Course Information'!F7</f>
        <v>71.5</v>
      </c>
      <c r="G8" s="30">
        <f t="shared" si="3"/>
        <v>9.1</v>
      </c>
      <c r="H8" s="26">
        <f t="shared" si="1"/>
        <v>2.6</v>
      </c>
      <c r="I8" s="27">
        <f t="shared" si="4"/>
        <v>6.58</v>
      </c>
      <c r="J8" s="27">
        <f t="shared" si="2"/>
        <v>2.86</v>
      </c>
      <c r="K8" s="27">
        <f t="shared" si="5"/>
        <v>7.5609999999999999</v>
      </c>
      <c r="L8" s="28" t="str">
        <f>IF($F8=0,"",VLOOKUP(F8,'Instructor Course Information'!$M$2:$N$16,2))</f>
        <v>C/C+/B-</v>
      </c>
      <c r="M8" s="32">
        <f>Planning!G7</f>
        <v>75</v>
      </c>
      <c r="N8" s="27">
        <f>(IF(Planning!G7="????",F8,IF(M8="",0,M8))*(C8+D8)/100)</f>
        <v>3</v>
      </c>
      <c r="O8" s="27">
        <f t="shared" si="6"/>
        <v>8.1</v>
      </c>
      <c r="P8" s="28" t="str">
        <f>IF($F8=0,"",IF(M8="????", L8,VLOOKUP(M8,'Instructor Course Information'!$M$2:$N$16,2)))</f>
        <v>B-/B/B+</v>
      </c>
      <c r="Q8" s="29">
        <f>Tracking!H7</f>
        <v>83.3</v>
      </c>
      <c r="R8" s="27">
        <f>IF(Tracking!H7="????",IF(Planning!G7="????",F8,IF(Planning!G7="",0,Planning!G7)),IF(Tracking!H7="",0,Tracking!H7))*(C8+D8)/100</f>
        <v>3.3319999999999999</v>
      </c>
      <c r="S8" s="27">
        <f t="shared" si="7"/>
        <v>8.4319999999999986</v>
      </c>
      <c r="T8" s="33" t="str">
        <f>IF($F8=0,"",IF(Q8="????", P8,VLOOKUP(Q8,'Instructor Course Information'!$M$2:$N$16,2)))</f>
        <v>B+/A-/A</v>
      </c>
      <c r="U8" s="36" t="str">
        <f>Desired!I9</f>
        <v>????</v>
      </c>
      <c r="V8" s="27">
        <f>IF(Desired!I9="",'Instructor Calculations'!R8,     IF(Desired!I9="????",       IF(Tracking!H7="????",     IF(Planning!G7="????",'Instructor Calculations'!F8, Planning!G7),   Tracking!H7),      Desired!I9))*(C8+D8)/100</f>
        <v>3.3319999999999999</v>
      </c>
      <c r="W8" s="27">
        <f t="shared" si="8"/>
        <v>8.4319999999999986</v>
      </c>
      <c r="X8" s="28" t="str">
        <f>IF($F8=0,"",IF(U8="????", T8,VLOOKUP(U8,'Instructor Course Information'!$M$2:$N$16,2)))</f>
        <v>B+/A-/A</v>
      </c>
      <c r="Y8" s="35" t="str">
        <f>IF('Instructor Calculations'!$B8="","","????")</f>
        <v>????</v>
      </c>
    </row>
    <row r="9" spans="1:27" ht="16.5" thickTop="1" thickBot="1" x14ac:dyDescent="0.3">
      <c r="A9" s="37" t="str">
        <f>'Reordered Course Information'!A8</f>
        <v>In Quiz 1 prediction</v>
      </c>
      <c r="B9" s="38">
        <f>'Reordered Course Information'!B8</f>
        <v>43752</v>
      </c>
      <c r="C9" s="37">
        <f>'Reordered Course Information'!C8</f>
        <v>0</v>
      </c>
      <c r="D9" s="37">
        <f>'Reordered Course Information'!D8</f>
        <v>0.5</v>
      </c>
      <c r="E9" s="37">
        <f>'Reordered Course Information'!E8</f>
        <v>1E-3</v>
      </c>
      <c r="F9" s="37">
        <f>'Reordered Course Information'!F8</f>
        <v>1.15E-3</v>
      </c>
      <c r="G9" s="30">
        <f t="shared" si="3"/>
        <v>9.1</v>
      </c>
      <c r="H9" s="26">
        <f t="shared" si="1"/>
        <v>0</v>
      </c>
      <c r="I9" s="27">
        <f t="shared" si="4"/>
        <v>6.58</v>
      </c>
      <c r="J9" s="27">
        <f t="shared" si="2"/>
        <v>0</v>
      </c>
      <c r="K9" s="27">
        <f t="shared" si="5"/>
        <v>7.5609999999999999</v>
      </c>
      <c r="L9" s="28">
        <f>IF($F9=0,"",VLOOKUP(F9,'Instructor Course Information'!$M$2:$N$16,2))</f>
        <v>0</v>
      </c>
      <c r="M9" s="32">
        <f>Planning!G8</f>
        <v>80</v>
      </c>
      <c r="N9" s="27">
        <f>(IF(Planning!G8="????",F9,IF(M9="",0,M9))*(C9+D9)/100)</f>
        <v>0.4</v>
      </c>
      <c r="O9" s="27">
        <f t="shared" si="6"/>
        <v>8.5</v>
      </c>
      <c r="P9" s="28" t="str">
        <f>IF($F9=0,"",IF(M9="????", L9,VLOOKUP(M9,'Instructor Course Information'!$M$2:$N$16,2)))</f>
        <v>B/B+/A-</v>
      </c>
      <c r="Q9" s="29">
        <f>Tracking!H8</f>
        <v>100</v>
      </c>
      <c r="R9" s="27">
        <f>IF(Tracking!H8="????",IF(Planning!G8="????",F9,IF(Planning!G8="",0,Planning!G8)),IF(Tracking!H8="",0,Tracking!H8))*(C9+D9)/100</f>
        <v>0.5</v>
      </c>
      <c r="S9" s="27">
        <f t="shared" si="7"/>
        <v>8.9319999999999986</v>
      </c>
      <c r="T9" s="33" t="str">
        <f>IF($F9=0,"",IF(Q9="????", P9,VLOOKUP(Q9,'Instructor Course Information'!$M$2:$N$16,2)))</f>
        <v>A+</v>
      </c>
      <c r="U9" s="36" t="str">
        <f>Desired!I10</f>
        <v>????</v>
      </c>
      <c r="V9" s="27">
        <f>IF(Desired!I10="",'Instructor Calculations'!R9,     IF(Desired!I10="????",       IF(Tracking!H8="????",     IF(Planning!G8="????",'Instructor Calculations'!F9, Planning!G8),   Tracking!H8),      Desired!I10))*(C9+D9)/100</f>
        <v>0.5</v>
      </c>
      <c r="W9" s="27">
        <f t="shared" si="8"/>
        <v>8.9319999999999986</v>
      </c>
      <c r="X9" s="28" t="str">
        <f>IF($F9=0,"",IF(U9="????", T9,VLOOKUP(U9,'Instructor Course Information'!$M$2:$N$16,2)))</f>
        <v>A+</v>
      </c>
      <c r="Y9" s="35" t="str">
        <f>IF('Instructor Calculations'!$B9="","","????")</f>
        <v>????</v>
      </c>
    </row>
    <row r="10" spans="1:27" ht="16.5" thickTop="1" thickBot="1" x14ac:dyDescent="0.3">
      <c r="A10" s="37" t="str">
        <f>'Reordered Course Information'!A9</f>
        <v>Post Quiz 1 EMA Submit</v>
      </c>
      <c r="B10" s="38">
        <f>'Reordered Course Information'!B9</f>
        <v>43753</v>
      </c>
      <c r="C10" s="37">
        <f>'Reordered Course Information'!C9</f>
        <v>0</v>
      </c>
      <c r="D10" s="37">
        <f>'Reordered Course Information'!D9</f>
        <v>0.5</v>
      </c>
      <c r="E10" s="37">
        <f>'Reordered Course Information'!E9</f>
        <v>1E-3</v>
      </c>
      <c r="F10" s="37">
        <f>'Reordered Course Information'!F9</f>
        <v>1.15E-3</v>
      </c>
      <c r="G10" s="30">
        <f t="shared" si="3"/>
        <v>9.1</v>
      </c>
      <c r="H10" s="26">
        <f t="shared" si="1"/>
        <v>0</v>
      </c>
      <c r="I10" s="27">
        <f t="shared" si="4"/>
        <v>6.58</v>
      </c>
      <c r="J10" s="27">
        <f t="shared" si="2"/>
        <v>0</v>
      </c>
      <c r="K10" s="27">
        <f t="shared" si="5"/>
        <v>7.5609999999999999</v>
      </c>
      <c r="L10" s="28">
        <f>IF($F10=0,"",VLOOKUP(F10,'Instructor Course Information'!$M$2:$N$16,2))</f>
        <v>0</v>
      </c>
      <c r="M10" s="32">
        <f>Planning!G9</f>
        <v>80</v>
      </c>
      <c r="N10" s="27">
        <f>(IF(Planning!G9="????",F10,IF(M10="",0,M10))*(C10+D10)/100)</f>
        <v>0.4</v>
      </c>
      <c r="O10" s="27">
        <f t="shared" si="6"/>
        <v>8.9</v>
      </c>
      <c r="P10" s="28" t="str">
        <f>IF($F10=0,"",IF(M10="????", L10,VLOOKUP(M10,'Instructor Course Information'!$M$2:$N$16,2)))</f>
        <v>B/B+/A-</v>
      </c>
      <c r="Q10" s="29">
        <f>Tracking!H9</f>
        <v>100</v>
      </c>
      <c r="R10" s="27">
        <f>IF(Tracking!H9="????",IF(Planning!G9="????",F10,IF(Planning!G9="",0,Planning!G9)),IF(Tracking!H9="",0,Tracking!H9))*(C10+D10)/100</f>
        <v>0.5</v>
      </c>
      <c r="S10" s="27">
        <f t="shared" si="7"/>
        <v>9.4319999999999986</v>
      </c>
      <c r="T10" s="33" t="str">
        <f>IF($F10=0,"",IF(Q10="????", P10,VLOOKUP(Q10,'Instructor Course Information'!$M$2:$N$16,2)))</f>
        <v>A+</v>
      </c>
      <c r="U10" s="36" t="str">
        <f>Desired!I11</f>
        <v>????</v>
      </c>
      <c r="V10" s="27">
        <f>IF(Desired!I11="",'Instructor Calculations'!R10,     IF(Desired!I11="????",       IF(Tracking!H9="????",     IF(Planning!G9="????",'Instructor Calculations'!F10, Planning!G9),   Tracking!H9),      Desired!I11))*(C10+D10)/100</f>
        <v>0.5</v>
      </c>
      <c r="W10" s="27">
        <f t="shared" si="8"/>
        <v>9.4319999999999986</v>
      </c>
      <c r="X10" s="28" t="str">
        <f>IF($F10=0,"",IF(U10="????", T10,VLOOKUP(U10,'Instructor Course Information'!$M$2:$N$16,2)))</f>
        <v>A+</v>
      </c>
      <c r="Y10" s="35" t="str">
        <f>IF('Instructor Calculations'!$B10="","","????")</f>
        <v>????</v>
      </c>
    </row>
    <row r="11" spans="1:27" ht="16.5" thickTop="1" thickBot="1" x14ac:dyDescent="0.3">
      <c r="A11" s="37" t="str">
        <f>'Reordered Course Information'!A10</f>
        <v>Lab 1 Demo</v>
      </c>
      <c r="B11" s="38">
        <f>'Reordered Course Information'!B10</f>
        <v>43754</v>
      </c>
      <c r="C11" s="37">
        <f>'Reordered Course Information'!C10</f>
        <v>4</v>
      </c>
      <c r="D11" s="37">
        <f>'Reordered Course Information'!D10</f>
        <v>0</v>
      </c>
      <c r="E11" s="37">
        <f>'Reordered Course Information'!E10</f>
        <v>80</v>
      </c>
      <c r="F11" s="37">
        <f>'Reordered Course Information'!F10</f>
        <v>96</v>
      </c>
      <c r="G11" s="30">
        <f t="shared" si="3"/>
        <v>13.1</v>
      </c>
      <c r="H11" s="26">
        <f t="shared" si="1"/>
        <v>3.2</v>
      </c>
      <c r="I11" s="27">
        <f t="shared" si="4"/>
        <v>9.7800000000000011</v>
      </c>
      <c r="J11" s="27">
        <f t="shared" si="2"/>
        <v>3.84</v>
      </c>
      <c r="K11" s="27">
        <f t="shared" si="5"/>
        <v>11.401</v>
      </c>
      <c r="L11" s="28" t="str">
        <f>IF($F11=0,"",VLOOKUP(F11,'Instructor Course Information'!$M$2:$N$16,2))</f>
        <v>A+</v>
      </c>
      <c r="M11" s="32">
        <f>Planning!G10</f>
        <v>100</v>
      </c>
      <c r="N11" s="27">
        <f>(IF(Planning!G10="????",F11,IF(M11="",0,M11))*(C11+D11)/100)</f>
        <v>4</v>
      </c>
      <c r="O11" s="27">
        <f t="shared" si="6"/>
        <v>12.9</v>
      </c>
      <c r="P11" s="28" t="str">
        <f>IF($F11=0,"",IF(M11="????", L11,VLOOKUP(M11,'Instructor Course Information'!$M$2:$N$16,2)))</f>
        <v>A+</v>
      </c>
      <c r="Q11" s="29">
        <f>Tracking!H10</f>
        <v>100</v>
      </c>
      <c r="R11" s="27">
        <f>IF(Tracking!H10="????",IF(Planning!G10="????",F11,IF(Planning!G10="",0,Planning!G10)),IF(Tracking!H10="",0,Tracking!H10))*(C11+D11)/100</f>
        <v>4</v>
      </c>
      <c r="S11" s="27">
        <f t="shared" si="7"/>
        <v>13.431999999999999</v>
      </c>
      <c r="T11" s="33" t="str">
        <f>IF($F11=0,"",IF(Q11="????", P11,VLOOKUP(Q11,'Instructor Course Information'!$M$2:$N$16,2)))</f>
        <v>A+</v>
      </c>
      <c r="U11" s="36" t="str">
        <f>Desired!I12</f>
        <v>????</v>
      </c>
      <c r="V11" s="27">
        <f>IF(Desired!I12="",'Instructor Calculations'!R11,     IF(Desired!I12="????",       IF(Tracking!H10="????",     IF(Planning!G10="????",'Instructor Calculations'!F11, Planning!G10),   Tracking!H10),      Desired!I12))*(C11+D11)/100</f>
        <v>4</v>
      </c>
      <c r="W11" s="27">
        <f t="shared" si="8"/>
        <v>13.431999999999999</v>
      </c>
      <c r="X11" s="28" t="str">
        <f>IF($F11=0,"",IF(U11="????", T11,VLOOKUP(U11,'Instructor Course Information'!$M$2:$N$16,2)))</f>
        <v>A+</v>
      </c>
      <c r="Y11" s="35" t="str">
        <f>IF('Instructor Calculations'!$B11="","","????")</f>
        <v>????</v>
      </c>
    </row>
    <row r="12" spans="1:27" ht="16.5" thickTop="1" thickBot="1" x14ac:dyDescent="0.3">
      <c r="A12" s="37" t="str">
        <f>'Reordered Course Information'!A11</f>
        <v>Assignment 1</v>
      </c>
      <c r="B12" s="38">
        <f>'Reordered Course Information'!B11</f>
        <v>43758</v>
      </c>
      <c r="C12" s="37">
        <f>'Reordered Course Information'!C11</f>
        <v>3</v>
      </c>
      <c r="D12" s="37">
        <f>'Reordered Course Information'!D11</f>
        <v>0</v>
      </c>
      <c r="E12" s="37">
        <f>'Reordered Course Information'!E11</f>
        <v>80</v>
      </c>
      <c r="F12" s="37">
        <f>'Reordered Course Information'!F11</f>
        <v>92</v>
      </c>
      <c r="G12" s="30">
        <f t="shared" si="3"/>
        <v>16.100000000000001</v>
      </c>
      <c r="H12" s="26">
        <f t="shared" si="1"/>
        <v>2.4</v>
      </c>
      <c r="I12" s="27">
        <f t="shared" si="4"/>
        <v>12.180000000000001</v>
      </c>
      <c r="J12" s="27">
        <f t="shared" si="2"/>
        <v>2.76</v>
      </c>
      <c r="K12" s="27">
        <f t="shared" si="5"/>
        <v>14.161</v>
      </c>
      <c r="L12" s="28" t="str">
        <f>IF($F12=0,"",VLOOKUP(F12,'Instructor Course Information'!$M$2:$N$16,2))</f>
        <v>A+</v>
      </c>
      <c r="M12" s="32">
        <f>Planning!G11</f>
        <v>90</v>
      </c>
      <c r="N12" s="27">
        <f>(IF(Planning!G11="????",F12,IF(M12="",0,M12))*(C12+D12)/100)</f>
        <v>2.7</v>
      </c>
      <c r="O12" s="27">
        <f t="shared" si="6"/>
        <v>15.600000000000001</v>
      </c>
      <c r="P12" s="28" t="str">
        <f>IF($F12=0,"",IF(M12="????", L12,VLOOKUP(M12,'Instructor Course Information'!$M$2:$N$16,2)))</f>
        <v>A/A+</v>
      </c>
      <c r="Q12" s="29">
        <f>Tracking!H11</f>
        <v>100</v>
      </c>
      <c r="R12" s="27">
        <f>IF(Tracking!H11="????",IF(Planning!G11="????",F12,IF(Planning!G11="",0,Planning!G11)),IF(Tracking!H11="",0,Tracking!H11))*(C12+D12)/100</f>
        <v>3</v>
      </c>
      <c r="S12" s="27">
        <f t="shared" si="7"/>
        <v>16.431999999999999</v>
      </c>
      <c r="T12" s="33" t="str">
        <f>IF($F12=0,"",IF(Q12="????", P12,VLOOKUP(Q12,'Instructor Course Information'!$M$2:$N$16,2)))</f>
        <v>A+</v>
      </c>
      <c r="U12" s="36" t="str">
        <f>Desired!I13</f>
        <v>????</v>
      </c>
      <c r="V12" s="27">
        <f>IF(Desired!I13="",'Instructor Calculations'!R12,     IF(Desired!I13="????",       IF(Tracking!H11="????",     IF(Planning!G11="????",'Instructor Calculations'!F12, Planning!G11),   Tracking!H11),      Desired!I13))*(C12+D12)/100</f>
        <v>3</v>
      </c>
      <c r="W12" s="27">
        <f t="shared" si="8"/>
        <v>16.431999999999999</v>
      </c>
      <c r="X12" s="28" t="str">
        <f>IF($F12=0,"",IF(U12="????", T12,VLOOKUP(U12,'Instructor Course Information'!$M$2:$N$16,2)))</f>
        <v>A+</v>
      </c>
      <c r="Y12" s="35" t="str">
        <f>IF('Instructor Calculations'!$B12="","","????")</f>
        <v>????</v>
      </c>
    </row>
    <row r="13" spans="1:27" ht="16.5" thickTop="1" thickBot="1" x14ac:dyDescent="0.3">
      <c r="A13" s="37" t="str">
        <f>'Reordered Course Information'!A12</f>
        <v>Assign 1 Early Bonus</v>
      </c>
      <c r="B13" s="38">
        <f>'Reordered Course Information'!B12</f>
        <v>43758</v>
      </c>
      <c r="C13" s="37">
        <f>'Reordered Course Information'!C12</f>
        <v>0</v>
      </c>
      <c r="D13" s="37">
        <f>'Reordered Course Information'!D12</f>
        <v>0.5</v>
      </c>
      <c r="E13" s="37">
        <f>'Reordered Course Information'!E12</f>
        <v>1E-3</v>
      </c>
      <c r="F13" s="37">
        <f>'Reordered Course Information'!F12</f>
        <v>1.15E-3</v>
      </c>
      <c r="G13" s="30">
        <f t="shared" si="3"/>
        <v>16.100000000000001</v>
      </c>
      <c r="H13" s="26">
        <f t="shared" si="1"/>
        <v>0</v>
      </c>
      <c r="I13" s="27">
        <f t="shared" si="4"/>
        <v>12.180000000000001</v>
      </c>
      <c r="J13" s="27">
        <f t="shared" si="2"/>
        <v>0</v>
      </c>
      <c r="K13" s="27">
        <f t="shared" si="5"/>
        <v>14.161</v>
      </c>
      <c r="L13" s="28">
        <f>IF($F13=0,"",VLOOKUP(F13,'Instructor Course Information'!$M$2:$N$16,2))</f>
        <v>0</v>
      </c>
      <c r="M13" s="32">
        <f>Planning!G12</f>
        <v>100</v>
      </c>
      <c r="N13" s="27">
        <f>(IF(Planning!G12="????",F13,IF(M13="",0,M13))*(C13+D13)/100)</f>
        <v>0.5</v>
      </c>
      <c r="O13" s="27">
        <f t="shared" si="6"/>
        <v>16.100000000000001</v>
      </c>
      <c r="P13" s="28" t="str">
        <f>IF($F13=0,"",IF(M13="????", L13,VLOOKUP(M13,'Instructor Course Information'!$M$2:$N$16,2)))</f>
        <v>A+</v>
      </c>
      <c r="Q13" s="29">
        <f>Tracking!H12</f>
        <v>0</v>
      </c>
      <c r="R13" s="27">
        <f>IF(Tracking!H12="????",IF(Planning!G12="????",F13,IF(Planning!G12="",0,Planning!G12)),IF(Tracking!H12="",0,Tracking!H12))*(C13+D13)/100</f>
        <v>0</v>
      </c>
      <c r="S13" s="27">
        <f t="shared" si="7"/>
        <v>16.431999999999999</v>
      </c>
      <c r="T13" s="33">
        <f>IF($F13=0,"",IF(Q13="????", P13,VLOOKUP(Q13,'Instructor Course Information'!$M$2:$N$16,2)))</f>
        <v>0</v>
      </c>
      <c r="U13" s="36" t="str">
        <f>Desired!I14</f>
        <v>????</v>
      </c>
      <c r="V13" s="27">
        <f>IF(Desired!I14="",'Instructor Calculations'!R13,     IF(Desired!I14="????",       IF(Tracking!H12="????",     IF(Planning!G12="????",'Instructor Calculations'!F13, Planning!G12),   Tracking!H12),      Desired!I14))*(C13+D13)/100</f>
        <v>0</v>
      </c>
      <c r="W13" s="27">
        <f t="shared" si="8"/>
        <v>16.431999999999999</v>
      </c>
      <c r="X13" s="28">
        <f>IF($F13=0,"",IF(U13="????", T13,VLOOKUP(U13,'Instructor Course Information'!$M$2:$N$16,2)))</f>
        <v>0</v>
      </c>
      <c r="Y13" s="35" t="str">
        <f>IF('Instructor Calculations'!$B13="","","????")</f>
        <v>????</v>
      </c>
    </row>
    <row r="14" spans="1:27" ht="16.5" thickTop="1" thickBot="1" x14ac:dyDescent="0.3">
      <c r="A14" s="37" t="str">
        <f>'Reordered Course Information'!A13</f>
        <v>Assignment 2</v>
      </c>
      <c r="B14" s="38">
        <f>'Reordered Course Information'!B13</f>
        <v>43767</v>
      </c>
      <c r="C14" s="37">
        <f>'Reordered Course Information'!C13</f>
        <v>4</v>
      </c>
      <c r="D14" s="37">
        <f>'Reordered Course Information'!D13</f>
        <v>0</v>
      </c>
      <c r="E14" s="37">
        <f>'Reordered Course Information'!E13</f>
        <v>75</v>
      </c>
      <c r="F14" s="37">
        <f>'Reordered Course Information'!F13</f>
        <v>86.25</v>
      </c>
      <c r="G14" s="30">
        <f t="shared" si="3"/>
        <v>20.100000000000001</v>
      </c>
      <c r="H14" s="26">
        <f t="shared" si="1"/>
        <v>3</v>
      </c>
      <c r="I14" s="27">
        <f t="shared" si="4"/>
        <v>15.180000000000001</v>
      </c>
      <c r="J14" s="27">
        <f t="shared" si="2"/>
        <v>3.45</v>
      </c>
      <c r="K14" s="27">
        <f t="shared" si="5"/>
        <v>17.611000000000001</v>
      </c>
      <c r="L14" s="28" t="str">
        <f>IF($F14=0,"",VLOOKUP(F14,'Instructor Course Information'!$M$2:$N$16,2))</f>
        <v>A-/A/A+</v>
      </c>
      <c r="M14" s="32">
        <f>Planning!G13</f>
        <v>90</v>
      </c>
      <c r="N14" s="27">
        <f>(IF(Planning!G13="????",F14,IF(M14="",0,M14))*(C14+D14)/100)</f>
        <v>3.6</v>
      </c>
      <c r="O14" s="27">
        <f t="shared" si="6"/>
        <v>19.700000000000003</v>
      </c>
      <c r="P14" s="28" t="str">
        <f>IF($F14=0,"",IF(M14="????", L14,VLOOKUP(M14,'Instructor Course Information'!$M$2:$N$16,2)))</f>
        <v>A/A+</v>
      </c>
      <c r="Q14" s="29">
        <f>Tracking!H13</f>
        <v>100</v>
      </c>
      <c r="R14" s="27">
        <f>IF(Tracking!H13="????",IF(Planning!G13="????",F14,IF(Planning!G13="",0,Planning!G13)),IF(Tracking!H13="",0,Tracking!H13))*(C14+D14)/100</f>
        <v>4</v>
      </c>
      <c r="S14" s="27">
        <f t="shared" si="7"/>
        <v>20.431999999999999</v>
      </c>
      <c r="T14" s="33" t="str">
        <f>IF($F14=0,"",IF(Q14="????", P14,VLOOKUP(Q14,'Instructor Course Information'!$M$2:$N$16,2)))</f>
        <v>A+</v>
      </c>
      <c r="U14" s="36" t="str">
        <f>Desired!I15</f>
        <v>????</v>
      </c>
      <c r="V14" s="27">
        <f>IF(Desired!I15="",'Instructor Calculations'!R14,     IF(Desired!I15="????",       IF(Tracking!H13="????",     IF(Planning!G13="????",'Instructor Calculations'!F14, Planning!G13),   Tracking!H13),      Desired!I15))*(C14+D14)/100</f>
        <v>4</v>
      </c>
      <c r="W14" s="27">
        <f t="shared" si="8"/>
        <v>20.431999999999999</v>
      </c>
      <c r="X14" s="28" t="str">
        <f>IF($F14=0,"",IF(U14="????", T14,VLOOKUP(U14,'Instructor Course Information'!$M$2:$N$16,2)))</f>
        <v>A+</v>
      </c>
      <c r="Y14" s="35" t="str">
        <f>IF('Instructor Calculations'!$B14="","","????")</f>
        <v>????</v>
      </c>
    </row>
    <row r="15" spans="1:27" ht="16.5" thickTop="1" thickBot="1" x14ac:dyDescent="0.3">
      <c r="A15" s="37" t="str">
        <f>'Reordered Course Information'!A14</f>
        <v>Lab 2 Demo</v>
      </c>
      <c r="B15" s="38">
        <f>'Reordered Course Information'!B14</f>
        <v>43768</v>
      </c>
      <c r="C15" s="37">
        <f>'Reordered Course Information'!C14</f>
        <v>4</v>
      </c>
      <c r="D15" s="37">
        <f>'Reordered Course Information'!D14</f>
        <v>0</v>
      </c>
      <c r="E15" s="37">
        <f>'Reordered Course Information'!E14</f>
        <v>80</v>
      </c>
      <c r="F15" s="37">
        <f>'Reordered Course Information'!F14</f>
        <v>96</v>
      </c>
      <c r="G15" s="30">
        <f t="shared" si="3"/>
        <v>24.1</v>
      </c>
      <c r="H15" s="26">
        <f t="shared" si="1"/>
        <v>3.2</v>
      </c>
      <c r="I15" s="27">
        <f t="shared" si="4"/>
        <v>18.380000000000003</v>
      </c>
      <c r="J15" s="27">
        <f t="shared" si="2"/>
        <v>3.84</v>
      </c>
      <c r="K15" s="27">
        <f t="shared" si="5"/>
        <v>21.451000000000001</v>
      </c>
      <c r="L15" s="28" t="str">
        <f>IF($F15=0,"",VLOOKUP(F15,'Instructor Course Information'!$M$2:$N$16,2))</f>
        <v>A+</v>
      </c>
      <c r="M15" s="32">
        <f>Planning!G14</f>
        <v>100</v>
      </c>
      <c r="N15" s="27">
        <f>(IF(Planning!G14="????",F15,IF(M15="",0,M15))*(C15+D15)/100)</f>
        <v>4</v>
      </c>
      <c r="O15" s="27">
        <f t="shared" si="6"/>
        <v>23.700000000000003</v>
      </c>
      <c r="P15" s="28" t="str">
        <f>IF($F15=0,"",IF(M15="????", L15,VLOOKUP(M15,'Instructor Course Information'!$M$2:$N$16,2)))</f>
        <v>A+</v>
      </c>
      <c r="Q15" s="29">
        <f>Tracking!H14</f>
        <v>100</v>
      </c>
      <c r="R15" s="27">
        <f>IF(Tracking!H14="????",IF(Planning!G14="????",F15,IF(Planning!G14="",0,Planning!G14)),IF(Tracking!H14="",0,Tracking!H14))*(C15+D15)/100</f>
        <v>4</v>
      </c>
      <c r="S15" s="27">
        <f t="shared" si="7"/>
        <v>24.431999999999999</v>
      </c>
      <c r="T15" s="33" t="str">
        <f>IF($F15=0,"",IF(Q15="????", P15,VLOOKUP(Q15,'Instructor Course Information'!$M$2:$N$16,2)))</f>
        <v>A+</v>
      </c>
      <c r="U15" s="36" t="str">
        <f>Desired!I16</f>
        <v>????</v>
      </c>
      <c r="V15" s="27">
        <f>IF(Desired!I16="",'Instructor Calculations'!R15,     IF(Desired!I16="????",       IF(Tracking!H14="????",     IF(Planning!G14="????",'Instructor Calculations'!F15, Planning!G14),   Tracking!H14),      Desired!I16))*(C15+D15)/100</f>
        <v>4</v>
      </c>
      <c r="W15" s="27">
        <f t="shared" si="8"/>
        <v>24.431999999999999</v>
      </c>
      <c r="X15" s="28" t="str">
        <f>IF($F15=0,"",IF(U15="????", T15,VLOOKUP(U15,'Instructor Course Information'!$M$2:$N$16,2)))</f>
        <v>A+</v>
      </c>
      <c r="Y15" s="35" t="str">
        <f>IF('Instructor Calculations'!$B15="","","????")</f>
        <v>????</v>
      </c>
    </row>
    <row r="16" spans="1:27" ht="16.5" thickTop="1" thickBot="1" x14ac:dyDescent="0.3">
      <c r="A16" s="37" t="str">
        <f>'Reordered Course Information'!A15</f>
        <v>Lab  2 Report</v>
      </c>
      <c r="B16" s="38">
        <f>'Reordered Course Information'!B15</f>
        <v>43768</v>
      </c>
      <c r="C16" s="37">
        <f>'Reordered Course Information'!C15</f>
        <v>2.25</v>
      </c>
      <c r="D16" s="37">
        <f>'Reordered Course Information'!D15</f>
        <v>0</v>
      </c>
      <c r="E16" s="37">
        <f>'Reordered Course Information'!E15</f>
        <v>80</v>
      </c>
      <c r="F16" s="37">
        <f>'Reordered Course Information'!F15</f>
        <v>96</v>
      </c>
      <c r="G16" s="30">
        <f t="shared" si="3"/>
        <v>26.35</v>
      </c>
      <c r="H16" s="26">
        <f t="shared" si="1"/>
        <v>1.8</v>
      </c>
      <c r="I16" s="27">
        <f t="shared" si="4"/>
        <v>20.180000000000003</v>
      </c>
      <c r="J16" s="27">
        <f t="shared" si="2"/>
        <v>2.16</v>
      </c>
      <c r="K16" s="27">
        <f t="shared" si="5"/>
        <v>23.611000000000001</v>
      </c>
      <c r="L16" s="28" t="str">
        <f>IF($F16=0,"",VLOOKUP(F16,'Instructor Course Information'!$M$2:$N$16,2))</f>
        <v>A+</v>
      </c>
      <c r="M16" s="32">
        <f>Planning!G15</f>
        <v>90</v>
      </c>
      <c r="N16" s="27">
        <f>(IF(Planning!G15="????",F16,IF(M16="",0,M16))*(C16+D16)/100)</f>
        <v>2.0249999999999999</v>
      </c>
      <c r="O16" s="27">
        <f t="shared" si="6"/>
        <v>25.725000000000001</v>
      </c>
      <c r="P16" s="28" t="str">
        <f>IF($F16=0,"",IF(M16="????", L16,VLOOKUP(M16,'Instructor Course Information'!$M$2:$N$16,2)))</f>
        <v>A/A+</v>
      </c>
      <c r="Q16" s="29">
        <f>Tracking!H15</f>
        <v>100</v>
      </c>
      <c r="R16" s="27">
        <f>IF(Tracking!H15="????",IF(Planning!G15="????",F16,IF(Planning!G15="",0,Planning!G15)),IF(Tracking!H15="",0,Tracking!H15))*(C16+D16)/100</f>
        <v>2.25</v>
      </c>
      <c r="S16" s="27">
        <f t="shared" si="7"/>
        <v>26.681999999999999</v>
      </c>
      <c r="T16" s="33" t="str">
        <f>IF($F16=0,"",IF(Q16="????", P16,VLOOKUP(Q16,'Instructor Course Information'!$M$2:$N$16,2)))</f>
        <v>A+</v>
      </c>
      <c r="U16" s="36" t="str">
        <f>Desired!I17</f>
        <v>????</v>
      </c>
      <c r="V16" s="27">
        <f>IF(Desired!I17="",'Instructor Calculations'!R16,     IF(Desired!I17="????",       IF(Tracking!H15="????",     IF(Planning!G15="????",'Instructor Calculations'!F16, Planning!G15),   Tracking!H15),      Desired!I17))*(C16+D16)/100</f>
        <v>2.25</v>
      </c>
      <c r="W16" s="27">
        <f t="shared" si="8"/>
        <v>26.681999999999999</v>
      </c>
      <c r="X16" s="28" t="str">
        <f>IF($F16=0,"",IF(U16="????", T16,VLOOKUP(U16,'Instructor Course Information'!$M$2:$N$16,2)))</f>
        <v>A+</v>
      </c>
      <c r="Y16" s="35" t="str">
        <f>IF('Instructor Calculations'!$B16="","","????")</f>
        <v>????</v>
      </c>
      <c r="AA16" s="156"/>
    </row>
    <row r="17" spans="1:27" ht="16.5" thickTop="1" thickBot="1" x14ac:dyDescent="0.3">
      <c r="A17" s="37" t="str">
        <f>'Reordered Course Information'!A16</f>
        <v>Assign 2 Early Bonus</v>
      </c>
      <c r="B17" s="38">
        <f>'Reordered Course Information'!B16</f>
        <v>43768</v>
      </c>
      <c r="C17" s="37">
        <f>'Reordered Course Information'!C16</f>
        <v>0</v>
      </c>
      <c r="D17" s="37">
        <f>'Reordered Course Information'!D16</f>
        <v>0.5</v>
      </c>
      <c r="E17" s="37">
        <f>'Reordered Course Information'!E16</f>
        <v>1E-3</v>
      </c>
      <c r="F17" s="37">
        <f>'Reordered Course Information'!F16</f>
        <v>1.15E-3</v>
      </c>
      <c r="G17" s="30">
        <f t="shared" si="3"/>
        <v>26.35</v>
      </c>
      <c r="H17" s="26">
        <f t="shared" si="1"/>
        <v>0</v>
      </c>
      <c r="I17" s="27">
        <f t="shared" si="4"/>
        <v>20.180000000000003</v>
      </c>
      <c r="J17" s="27">
        <f t="shared" si="2"/>
        <v>0</v>
      </c>
      <c r="K17" s="27">
        <f t="shared" si="5"/>
        <v>23.611000000000001</v>
      </c>
      <c r="L17" s="28">
        <f>IF($F17=0,"",VLOOKUP(F17,'Instructor Course Information'!$M$2:$N$16,2))</f>
        <v>0</v>
      </c>
      <c r="M17" s="32">
        <f>Planning!G16</f>
        <v>80</v>
      </c>
      <c r="N17" s="27">
        <f>(IF(Planning!G16="????",F17,IF(M17="",0,M17))*(C17+D17)/100)</f>
        <v>0.4</v>
      </c>
      <c r="O17" s="27">
        <f t="shared" si="6"/>
        <v>26.125</v>
      </c>
      <c r="P17" s="28" t="str">
        <f>IF($F17=0,"",IF(M17="????", L17,VLOOKUP(M17,'Instructor Course Information'!$M$2:$N$16,2)))</f>
        <v>B/B+/A-</v>
      </c>
      <c r="Q17" s="29">
        <f>Tracking!H16</f>
        <v>0</v>
      </c>
      <c r="R17" s="27">
        <f>IF(Tracking!H16="????",IF(Planning!G16="????",F17,IF(Planning!G16="",0,Planning!G16)),IF(Tracking!H16="",0,Tracking!H16))*(C17+D17)/100</f>
        <v>0</v>
      </c>
      <c r="S17" s="27">
        <f t="shared" si="7"/>
        <v>26.681999999999999</v>
      </c>
      <c r="T17" s="33">
        <f>IF($F17=0,"",IF(Q17="????", P17,VLOOKUP(Q17,'Instructor Course Information'!$M$2:$N$16,2)))</f>
        <v>0</v>
      </c>
      <c r="U17" s="36" t="str">
        <f>Desired!I18</f>
        <v>????</v>
      </c>
      <c r="V17" s="27">
        <f>IF(Desired!I18="",'Instructor Calculations'!R17,     IF(Desired!I18="????",       IF(Tracking!H16="????",     IF(Planning!G16="????",'Instructor Calculations'!F17, Planning!G16),   Tracking!H16),      Desired!I18))*(C17+D17)/100</f>
        <v>0</v>
      </c>
      <c r="W17" s="27">
        <f t="shared" si="8"/>
        <v>26.681999999999999</v>
      </c>
      <c r="X17" s="28">
        <f>IF($F17=0,"",IF(U17="????", T17,VLOOKUP(U17,'Instructor Course Information'!$M$2:$N$16,2)))</f>
        <v>0</v>
      </c>
      <c r="Y17" s="35" t="str">
        <f>IF('Instructor Calculations'!$B17="","","????")</f>
        <v>????</v>
      </c>
      <c r="AA17" s="156"/>
    </row>
    <row r="18" spans="1:27" ht="16.5" thickTop="1" thickBot="1" x14ac:dyDescent="0.3">
      <c r="A18" s="37" t="str">
        <f>'Reordered Course Information'!A17</f>
        <v>Midterm</v>
      </c>
      <c r="B18" s="38">
        <f>'Reordered Course Information'!B17</f>
        <v>43769</v>
      </c>
      <c r="C18" s="37">
        <f>'Reordered Course Information'!C17</f>
        <v>17</v>
      </c>
      <c r="D18" s="37">
        <f>'Reordered Course Information'!D17</f>
        <v>0</v>
      </c>
      <c r="E18" s="37">
        <f>'Reordered Course Information'!E17</f>
        <v>65</v>
      </c>
      <c r="F18" s="37">
        <f>'Reordered Course Information'!F17</f>
        <v>71.5</v>
      </c>
      <c r="G18" s="30">
        <f t="shared" si="3"/>
        <v>43.35</v>
      </c>
      <c r="H18" s="26">
        <f t="shared" si="1"/>
        <v>11.05</v>
      </c>
      <c r="I18" s="27">
        <f t="shared" si="4"/>
        <v>31.230000000000004</v>
      </c>
      <c r="J18" s="27">
        <f t="shared" si="2"/>
        <v>12.154999999999999</v>
      </c>
      <c r="K18" s="27">
        <f t="shared" si="5"/>
        <v>35.765999999999998</v>
      </c>
      <c r="L18" s="28" t="str">
        <f>IF($F18=0,"",VLOOKUP(F18,'Instructor Course Information'!$M$2:$N$16,2))</f>
        <v>C/C+/B-</v>
      </c>
      <c r="M18" s="32">
        <f>Planning!G17</f>
        <v>75</v>
      </c>
      <c r="N18" s="27">
        <f>(IF(Planning!G17="????",F18,IF(M18="",0,M18))*(C18+D18)/100)</f>
        <v>12.75</v>
      </c>
      <c r="O18" s="27">
        <f t="shared" si="6"/>
        <v>38.875</v>
      </c>
      <c r="P18" s="28" t="str">
        <f>IF($F18=0,"",IF(M18="????", L18,VLOOKUP(M18,'Instructor Course Information'!$M$2:$N$16,2)))</f>
        <v>B-/B/B+</v>
      </c>
      <c r="Q18" s="29">
        <f>Tracking!H17</f>
        <v>101.17</v>
      </c>
      <c r="R18" s="27">
        <f>IF(Tracking!H17="????",IF(Planning!G17="????",F18,IF(Planning!G17="",0,Planning!G17)),IF(Tracking!H17="",0,Tracking!H17))*(C18+D18)/100</f>
        <v>17.198900000000002</v>
      </c>
      <c r="S18" s="27">
        <f t="shared" si="7"/>
        <v>43.880899999999997</v>
      </c>
      <c r="T18" s="33" t="str">
        <f>IF($F18=0,"",IF(Q18="????", P18,VLOOKUP(Q18,'Instructor Course Information'!$M$2:$N$16,2)))</f>
        <v>A+</v>
      </c>
      <c r="U18" s="36" t="str">
        <f>Desired!I19</f>
        <v>????</v>
      </c>
      <c r="V18" s="27">
        <f>IF(Desired!I19="",'Instructor Calculations'!R18,     IF(Desired!I19="????",       IF(Tracking!H17="????",     IF(Planning!G17="????",'Instructor Calculations'!F18, Planning!G17),   Tracking!H17),      Desired!I19))*(C18+D18)/100</f>
        <v>17.198900000000002</v>
      </c>
      <c r="W18" s="27">
        <f t="shared" si="8"/>
        <v>43.880899999999997</v>
      </c>
      <c r="X18" s="28" t="str">
        <f>IF($F18=0,"",IF(U18="????", T18,VLOOKUP(U18,'Instructor Course Information'!$M$2:$N$16,2)))</f>
        <v>A+</v>
      </c>
      <c r="Y18" s="35" t="str">
        <f>IF('Instructor Calculations'!$B18="","","????")</f>
        <v>????</v>
      </c>
      <c r="AA18" s="156"/>
    </row>
    <row r="19" spans="1:27" ht="16.5" thickTop="1" thickBot="1" x14ac:dyDescent="0.3">
      <c r="A19" s="37" t="str">
        <f>'Reordered Course Information'!A18</f>
        <v>In Midterm prediction</v>
      </c>
      <c r="B19" s="38">
        <f>'Reordered Course Information'!B18</f>
        <v>43769</v>
      </c>
      <c r="C19" s="37">
        <f>'Reordered Course Information'!C18</f>
        <v>0</v>
      </c>
      <c r="D19" s="37">
        <f>'Reordered Course Information'!D18</f>
        <v>0.5</v>
      </c>
      <c r="E19" s="37">
        <f>'Reordered Course Information'!E18</f>
        <v>1E-3</v>
      </c>
      <c r="F19" s="37">
        <f>'Reordered Course Information'!F18</f>
        <v>1.15E-3</v>
      </c>
      <c r="G19" s="30">
        <f t="shared" si="3"/>
        <v>43.35</v>
      </c>
      <c r="H19" s="26">
        <f t="shared" si="1"/>
        <v>0</v>
      </c>
      <c r="I19" s="27">
        <f t="shared" si="4"/>
        <v>31.230000000000004</v>
      </c>
      <c r="J19" s="27">
        <f t="shared" si="2"/>
        <v>0</v>
      </c>
      <c r="K19" s="27">
        <f t="shared" si="5"/>
        <v>35.765999999999998</v>
      </c>
      <c r="L19" s="28">
        <f>IF($F19=0,"",VLOOKUP(F19,'Instructor Course Information'!$M$2:$N$16,2))</f>
        <v>0</v>
      </c>
      <c r="M19" s="32">
        <f>Planning!G18</f>
        <v>80</v>
      </c>
      <c r="N19" s="27">
        <f>(IF(Planning!G18="????",F19,IF(M19="",0,M19))*(C19+D19)/100)</f>
        <v>0.4</v>
      </c>
      <c r="O19" s="27">
        <f t="shared" si="6"/>
        <v>39.274999999999999</v>
      </c>
      <c r="P19" s="28" t="str">
        <f>IF($F19=0,"",IF(M19="????", L19,VLOOKUP(M19,'Instructor Course Information'!$M$2:$N$16,2)))</f>
        <v>B/B+/A-</v>
      </c>
      <c r="Q19" s="29">
        <f>Tracking!H18</f>
        <v>100</v>
      </c>
      <c r="R19" s="27">
        <f>IF(Tracking!H18="????",IF(Planning!G18="????",F19,IF(Planning!G18="",0,Planning!G18)),IF(Tracking!H18="",0,Tracking!H18))*(C19+D19)/100</f>
        <v>0.5</v>
      </c>
      <c r="S19" s="27">
        <f t="shared" si="7"/>
        <v>44.380899999999997</v>
      </c>
      <c r="T19" s="33" t="str">
        <f>IF($F19=0,"",IF(Q19="????", P19,VLOOKUP(Q19,'Instructor Course Information'!$M$2:$N$16,2)))</f>
        <v>A+</v>
      </c>
      <c r="U19" s="36" t="str">
        <f>Desired!I20</f>
        <v>????</v>
      </c>
      <c r="V19" s="27">
        <f>IF(Desired!I20="",'Instructor Calculations'!R19,     IF(Desired!I20="????",       IF(Tracking!H18="????",     IF(Planning!G18="????",'Instructor Calculations'!F19, Planning!G18),   Tracking!H18),      Desired!I20))*(C19+D19)/100</f>
        <v>0.5</v>
      </c>
      <c r="W19" s="27">
        <f t="shared" si="8"/>
        <v>44.380899999999997</v>
      </c>
      <c r="X19" s="28" t="str">
        <f>IF($F19=0,"",IF(U19="????", T19,VLOOKUP(U19,'Instructor Course Information'!$M$2:$N$16,2)))</f>
        <v>A+</v>
      </c>
      <c r="Y19" s="35" t="str">
        <f>IF('Instructor Calculations'!$B19="","","????")</f>
        <v>????</v>
      </c>
      <c r="AA19" s="156"/>
    </row>
    <row r="20" spans="1:27" ht="16.5" thickTop="1" thickBot="1" x14ac:dyDescent="0.3">
      <c r="A20" s="37" t="str">
        <f>'Reordered Course Information'!A19</f>
        <v>Post Midterm EMA Submit</v>
      </c>
      <c r="B20" s="38">
        <f>'Reordered Course Information'!B19</f>
        <v>43771</v>
      </c>
      <c r="C20" s="37">
        <f>'Reordered Course Information'!C19</f>
        <v>0</v>
      </c>
      <c r="D20" s="37">
        <f>'Reordered Course Information'!D19</f>
        <v>0.5</v>
      </c>
      <c r="E20" s="37">
        <f>'Reordered Course Information'!E19</f>
        <v>1E-3</v>
      </c>
      <c r="F20" s="37">
        <f>'Reordered Course Information'!F19</f>
        <v>1.15E-3</v>
      </c>
      <c r="G20" s="30">
        <f t="shared" si="3"/>
        <v>43.35</v>
      </c>
      <c r="H20" s="26">
        <f t="shared" ref="H20" si="9">E20*C20/100</f>
        <v>0</v>
      </c>
      <c r="I20" s="27">
        <f t="shared" ref="I20" si="10">H20+I19</f>
        <v>31.230000000000004</v>
      </c>
      <c r="J20" s="27">
        <f t="shared" ref="J20" si="11">F20*C20/100</f>
        <v>0</v>
      </c>
      <c r="K20" s="27">
        <f t="shared" si="5"/>
        <v>35.765999999999998</v>
      </c>
      <c r="L20" s="28">
        <f>IF($F20=0,"",VLOOKUP(F20,'Instructor Course Information'!$M$2:$N$16,2))</f>
        <v>0</v>
      </c>
      <c r="M20" s="32">
        <f>Planning!G19</f>
        <v>70</v>
      </c>
      <c r="N20" s="27">
        <f>(IF(Planning!G19="????",F20,IF(M20="",0,M20))*(C20+D20)/100)</f>
        <v>0.35</v>
      </c>
      <c r="O20" s="27">
        <f t="shared" si="6"/>
        <v>39.625</v>
      </c>
      <c r="P20" s="28" t="str">
        <f>IF($F20=0,"",IF(M20="????", L20,VLOOKUP(M20,'Instructor Course Information'!$M$2:$N$16,2)))</f>
        <v>C/C+/B-</v>
      </c>
      <c r="Q20" s="29">
        <f>Tracking!H19</f>
        <v>100</v>
      </c>
      <c r="R20" s="27">
        <f>IF(Tracking!H19="????",IF(Planning!G19="????",F20,IF(Planning!G19="",0,Planning!G19)),IF(Tracking!H19="",0,Tracking!H19))*(C20+D20)/100</f>
        <v>0.5</v>
      </c>
      <c r="S20" s="27">
        <f t="shared" si="7"/>
        <v>44.880899999999997</v>
      </c>
      <c r="T20" s="33" t="str">
        <f>IF($F20=0,"",IF(Q20="????", P20,VLOOKUP(Q20,'Instructor Course Information'!$M$2:$N$16,2)))</f>
        <v>A+</v>
      </c>
      <c r="U20" s="36" t="str">
        <f>Desired!I21</f>
        <v>????</v>
      </c>
      <c r="V20" s="27">
        <f>IF(Desired!I21="",'Instructor Calculations'!R20,     IF(Desired!I21="????",       IF(Tracking!H19="????",     IF(Planning!G19="????",'Instructor Calculations'!F20, Planning!G19),   Tracking!H19),      Desired!I21))*(C20+D20)/100</f>
        <v>0.5</v>
      </c>
      <c r="W20" s="27">
        <f t="shared" si="8"/>
        <v>44.880899999999997</v>
      </c>
      <c r="X20" s="28" t="str">
        <f>IF($F20=0,"",IF(U20="????", T20,VLOOKUP(U20,'Instructor Course Information'!$M$2:$N$16,2)))</f>
        <v>A+</v>
      </c>
      <c r="Y20" s="35" t="str">
        <f>IF('Instructor Calculations'!$B20="","","????")</f>
        <v>????</v>
      </c>
      <c r="AA20" s="156"/>
    </row>
    <row r="21" spans="1:27" ht="16.5" thickTop="1" thickBot="1" x14ac:dyDescent="0.3">
      <c r="A21" s="37" t="str">
        <f>'Reordered Course Information'!A20</f>
        <v>Post Quiz 3 EMASubmit</v>
      </c>
      <c r="B21" s="38">
        <f>'Reordered Course Information'!B20</f>
        <v>43789</v>
      </c>
      <c r="C21" s="37">
        <f>'Reordered Course Information'!C20</f>
        <v>0</v>
      </c>
      <c r="D21" s="37">
        <f>'Reordered Course Information'!D20</f>
        <v>0.5</v>
      </c>
      <c r="E21" s="37">
        <f>'Reordered Course Information'!E20</f>
        <v>1E-3</v>
      </c>
      <c r="F21" s="37">
        <f>'Reordered Course Information'!F20</f>
        <v>1.15E-3</v>
      </c>
      <c r="G21" s="30">
        <f t="shared" si="3"/>
        <v>43.35</v>
      </c>
      <c r="H21" s="26">
        <f t="shared" ref="H21" si="12">E21*C21/100</f>
        <v>0</v>
      </c>
      <c r="I21" s="27">
        <f t="shared" ref="I21" si="13">H21+I20</f>
        <v>31.230000000000004</v>
      </c>
      <c r="J21" s="27">
        <f t="shared" ref="J21" si="14">F21*C21/100</f>
        <v>0</v>
      </c>
      <c r="K21" s="27">
        <f t="shared" si="5"/>
        <v>35.765999999999998</v>
      </c>
      <c r="L21" s="28">
        <f>IF($F21=0,"",VLOOKUP(F21,'Instructor Course Information'!$M$2:$N$16,2))</f>
        <v>0</v>
      </c>
      <c r="M21" s="32">
        <f>Planning!G20</f>
        <v>80</v>
      </c>
      <c r="N21" s="27">
        <f>(IF(Planning!G20="????",F21,IF(M21="",0,M21))*(C21+D21)/100)</f>
        <v>0.4</v>
      </c>
      <c r="O21" s="27">
        <f t="shared" si="6"/>
        <v>40.024999999999999</v>
      </c>
      <c r="P21" s="28" t="str">
        <f>IF($F21=0,"",IF(M21="????", L21,VLOOKUP(M21,'Instructor Course Information'!$M$2:$N$16,2)))</f>
        <v>B/B+/A-</v>
      </c>
      <c r="Q21" s="29">
        <f>Tracking!H20</f>
        <v>100</v>
      </c>
      <c r="R21" s="27">
        <f>IF(Tracking!H20="????",IF(Planning!G20="????",F21,IF(Planning!G20="",0,Planning!G20)),IF(Tracking!H20="",0,Tracking!H20))*(C21+D21)/100</f>
        <v>0.5</v>
      </c>
      <c r="S21" s="27">
        <f t="shared" si="7"/>
        <v>45.380899999999997</v>
      </c>
      <c r="T21" s="33" t="str">
        <f>IF($F21=0,"",IF(Q21="????", P21,VLOOKUP(Q21,'Instructor Course Information'!$M$2:$N$16,2)))</f>
        <v>A+</v>
      </c>
      <c r="U21" s="36" t="str">
        <f>Desired!I22</f>
        <v>????</v>
      </c>
      <c r="V21" s="27">
        <f>IF(Desired!I22="",'Instructor Calculations'!R21,     IF(Desired!I22="????",       IF(Tracking!H20="????",     IF(Planning!G20="????",'Instructor Calculations'!F21, Planning!G20),   Tracking!H20),      Desired!I22))*(C21+D21)/100</f>
        <v>0.5</v>
      </c>
      <c r="W21" s="27">
        <f t="shared" si="8"/>
        <v>45.380899999999997</v>
      </c>
      <c r="X21" s="28" t="str">
        <f>IF($F21=0,"",IF(U21="????", T21,VLOOKUP(U21,'Instructor Course Information'!$M$2:$N$16,2)))</f>
        <v>A+</v>
      </c>
      <c r="Y21" s="35" t="str">
        <f>IF('Instructor Calculations'!$B21="","","????")</f>
        <v>????</v>
      </c>
      <c r="AA21" s="156"/>
    </row>
    <row r="22" spans="1:27" ht="16.5" thickTop="1" thickBot="1" x14ac:dyDescent="0.3">
      <c r="A22" s="37" t="str">
        <f>'Reordered Course Information'!A21</f>
        <v>Lab 3 Demo</v>
      </c>
      <c r="B22" s="38">
        <f>'Reordered Course Information'!B21</f>
        <v>43789</v>
      </c>
      <c r="C22" s="37">
        <f>'Reordered Course Information'!C21</f>
        <v>2.4</v>
      </c>
      <c r="D22" s="37">
        <f>'Reordered Course Information'!D21</f>
        <v>0</v>
      </c>
      <c r="E22" s="37">
        <f>'Reordered Course Information'!E21</f>
        <v>80</v>
      </c>
      <c r="F22" s="37">
        <f>'Reordered Course Information'!F21</f>
        <v>96</v>
      </c>
      <c r="G22" s="30">
        <f t="shared" ref="G22:G28" si="15">C22+G21</f>
        <v>45.75</v>
      </c>
      <c r="H22" s="26">
        <f t="shared" ref="H22:H28" si="16">E22*C22/100</f>
        <v>1.92</v>
      </c>
      <c r="I22" s="27">
        <f t="shared" ref="I22:I28" si="17">H22+I21</f>
        <v>33.150000000000006</v>
      </c>
      <c r="J22" s="27">
        <f t="shared" ref="J22:J28" si="18">F22*C22/100</f>
        <v>2.3039999999999998</v>
      </c>
      <c r="K22" s="27">
        <f t="shared" ref="K22:K28" si="19">J22+K21</f>
        <v>38.07</v>
      </c>
      <c r="L22" s="28" t="str">
        <f>IF($F22=0,"",VLOOKUP(F22,'Instructor Course Information'!$M$2:$N$16,2))</f>
        <v>A+</v>
      </c>
      <c r="M22" s="32">
        <f>Planning!G21</f>
        <v>80</v>
      </c>
      <c r="N22" s="27">
        <f>(IF(Planning!G21="????",F22,IF(M22="",0,M22))*(C22+D22)/100)</f>
        <v>1.92</v>
      </c>
      <c r="O22" s="27">
        <f t="shared" ref="O22:O28" si="20">N22+O21</f>
        <v>41.945</v>
      </c>
      <c r="P22" s="28" t="str">
        <f>IF($F22=0,"",IF(M22="????", L22,VLOOKUP(M22,'Instructor Course Information'!$M$2:$N$16,2)))</f>
        <v>B/B+/A-</v>
      </c>
      <c r="Q22" s="29">
        <f>Tracking!H21</f>
        <v>100</v>
      </c>
      <c r="R22" s="27">
        <f>IF(Tracking!H21="????",IF(Planning!G21="????",F22,IF(Planning!G21="",0,Planning!G21)),IF(Tracking!H21="",0,Tracking!H21))*(C22+D22)/100</f>
        <v>2.4</v>
      </c>
      <c r="S22" s="27">
        <f t="shared" ref="S22:S28" si="21">R22+S21</f>
        <v>47.780899999999995</v>
      </c>
      <c r="T22" s="33" t="str">
        <f>IF($F22=0,"",IF(Q22="????", P22,VLOOKUP(Q22,'Instructor Course Information'!$M$2:$N$16,2)))</f>
        <v>A+</v>
      </c>
      <c r="U22" s="36" t="str">
        <f>Desired!I23</f>
        <v>????</v>
      </c>
      <c r="V22" s="27">
        <f>IF(Desired!I23="",'Instructor Calculations'!R22,     IF(Desired!I23="????",       IF(Tracking!H21="????",     IF(Planning!G21="????",'Instructor Calculations'!F22, Planning!G21),   Tracking!H21),      Desired!I23))*(C22+D22)/100</f>
        <v>2.4</v>
      </c>
      <c r="W22" s="27">
        <f t="shared" ref="W22:W28" si="22">V22+W21</f>
        <v>47.780899999999995</v>
      </c>
      <c r="X22" s="28" t="str">
        <f>IF($F22=0,"",IF(U22="????", T22,VLOOKUP(U22,'Instructor Course Information'!$M$2:$N$16,2)))</f>
        <v>A+</v>
      </c>
      <c r="Y22" s="35" t="str">
        <f>IF('Instructor Calculations'!$B22="","","????")</f>
        <v>????</v>
      </c>
    </row>
    <row r="23" spans="1:27" ht="16.5" thickTop="1" thickBot="1" x14ac:dyDescent="0.3">
      <c r="A23" s="37" t="str">
        <f>'Reordered Course Information'!A22</f>
        <v>Quiz 3</v>
      </c>
      <c r="B23" s="38">
        <f>'Reordered Course Information'!B22</f>
        <v>43791</v>
      </c>
      <c r="C23" s="37">
        <f>'Reordered Course Information'!C22</f>
        <v>4</v>
      </c>
      <c r="D23" s="37">
        <f>'Reordered Course Information'!D22</f>
        <v>0</v>
      </c>
      <c r="E23" s="37">
        <f>'Reordered Course Information'!E22</f>
        <v>65</v>
      </c>
      <c r="F23" s="37">
        <f>'Reordered Course Information'!F22</f>
        <v>71.5</v>
      </c>
      <c r="G23" s="30">
        <f t="shared" si="15"/>
        <v>49.75</v>
      </c>
      <c r="H23" s="26">
        <f t="shared" si="16"/>
        <v>2.6</v>
      </c>
      <c r="I23" s="27">
        <f t="shared" si="17"/>
        <v>35.750000000000007</v>
      </c>
      <c r="J23" s="27">
        <f t="shared" si="18"/>
        <v>2.86</v>
      </c>
      <c r="K23" s="27">
        <f t="shared" si="19"/>
        <v>40.93</v>
      </c>
      <c r="L23" s="28" t="str">
        <f>IF($F23=0,"",VLOOKUP(F23,'Instructor Course Information'!$M$2:$N$16,2))</f>
        <v>C/C+/B-</v>
      </c>
      <c r="M23" s="32">
        <f>Planning!G22</f>
        <v>70</v>
      </c>
      <c r="N23" s="27">
        <f>(IF(Planning!G22="????",F23,IF(M23="",0,M23))*(C23+D23)/100)</f>
        <v>2.8</v>
      </c>
      <c r="O23" s="27">
        <f t="shared" si="20"/>
        <v>44.744999999999997</v>
      </c>
      <c r="P23" s="28" t="str">
        <f>IF($F23=0,"",IF(M23="????", L23,VLOOKUP(M23,'Instructor Course Information'!$M$2:$N$16,2)))</f>
        <v>C/C+/B-</v>
      </c>
      <c r="Q23" s="29">
        <f>Tracking!H22</f>
        <v>102.5</v>
      </c>
      <c r="R23" s="27">
        <f>IF(Tracking!H22="????",IF(Planning!G22="????",F23,IF(Planning!G22="",0,Planning!G22)),IF(Tracking!H22="",0,Tracking!H22))*(C23+D23)/100</f>
        <v>4.0999999999999996</v>
      </c>
      <c r="S23" s="27">
        <f t="shared" si="21"/>
        <v>51.880899999999997</v>
      </c>
      <c r="T23" s="33" t="str">
        <f>IF($F23=0,"",IF(Q23="????", P23,VLOOKUP(Q23,'Instructor Course Information'!$M$2:$N$16,2)))</f>
        <v>A+</v>
      </c>
      <c r="U23" s="36" t="str">
        <f>Desired!I24</f>
        <v>????</v>
      </c>
      <c r="V23" s="27">
        <f>IF(Desired!I24="",'Instructor Calculations'!R23,     IF(Desired!I24="????",       IF(Tracking!H22="????",     IF(Planning!G22="????",'Instructor Calculations'!F23, Planning!G22),   Tracking!H22),      Desired!I24))*(C23+D23)/100</f>
        <v>4.0999999999999996</v>
      </c>
      <c r="W23" s="27">
        <f t="shared" si="22"/>
        <v>51.880899999999997</v>
      </c>
      <c r="X23" s="28" t="str">
        <f>IF($F23=0,"",IF(U23="????", T23,VLOOKUP(U23,'Instructor Course Information'!$M$2:$N$16,2)))</f>
        <v>A+</v>
      </c>
      <c r="Y23" s="35" t="str">
        <f>IF('Instructor Calculations'!$B23="","","????")</f>
        <v>????</v>
      </c>
    </row>
    <row r="24" spans="1:27" ht="16.5" thickTop="1" thickBot="1" x14ac:dyDescent="0.3">
      <c r="A24" s="37" t="str">
        <f>'Reordered Course Information'!A23</f>
        <v>In Quiz 3 prediction</v>
      </c>
      <c r="B24" s="38">
        <f>'Reordered Course Information'!B23</f>
        <v>43791</v>
      </c>
      <c r="C24" s="37">
        <f>'Reordered Course Information'!C23</f>
        <v>0</v>
      </c>
      <c r="D24" s="37">
        <f>'Reordered Course Information'!D23</f>
        <v>0.5</v>
      </c>
      <c r="E24" s="37">
        <f>'Reordered Course Information'!E23</f>
        <v>1E-3</v>
      </c>
      <c r="F24" s="37">
        <f>'Reordered Course Information'!F23</f>
        <v>1.15E-3</v>
      </c>
      <c r="G24" s="30">
        <f t="shared" si="15"/>
        <v>49.75</v>
      </c>
      <c r="H24" s="26"/>
      <c r="I24" s="27">
        <f t="shared" si="17"/>
        <v>35.750000000000007</v>
      </c>
      <c r="J24" s="27">
        <f t="shared" si="18"/>
        <v>0</v>
      </c>
      <c r="K24" s="27">
        <f t="shared" si="19"/>
        <v>40.93</v>
      </c>
      <c r="L24" s="28">
        <f>IF($F24=0,"",VLOOKUP(F24,'Instructor Course Information'!$M$2:$N$16,2))</f>
        <v>0</v>
      </c>
      <c r="M24" s="32">
        <f>Planning!G23</f>
        <v>80</v>
      </c>
      <c r="N24" s="27">
        <f>(IF(Planning!G23="????",F24,IF(M24="",0,M24))*(C24+D24)/100)</f>
        <v>0.4</v>
      </c>
      <c r="O24" s="27">
        <f t="shared" si="20"/>
        <v>45.144999999999996</v>
      </c>
      <c r="P24" s="28" t="str">
        <f>IF($F24=0,"",IF(M24="????", L24,VLOOKUP(M24,'Instructor Course Information'!$M$2:$N$16,2)))</f>
        <v>B/B+/A-</v>
      </c>
      <c r="Q24" s="29">
        <f>Tracking!H23</f>
        <v>100</v>
      </c>
      <c r="R24" s="27">
        <f>IF(Tracking!H23="????",IF(Planning!G23="????",F24,IF(Planning!G23="",0,Planning!G23)),IF(Tracking!H23="",0,Tracking!H23))*(C24+D24)/100</f>
        <v>0.5</v>
      </c>
      <c r="S24" s="27">
        <f t="shared" si="21"/>
        <v>52.380899999999997</v>
      </c>
      <c r="T24" s="33" t="str">
        <f>IF($F24=0,"",IF(Q24="????", P24,VLOOKUP(Q24,'Instructor Course Information'!$M$2:$N$16,2)))</f>
        <v>A+</v>
      </c>
      <c r="U24" s="36" t="str">
        <f>Desired!I25</f>
        <v>????</v>
      </c>
      <c r="V24" s="27">
        <f>IF(Desired!I25="",'Instructor Calculations'!R24,     IF(Desired!I25="????",       IF(Tracking!H23="????",     IF(Planning!G23="????",'Instructor Calculations'!F24, Planning!G23),   Tracking!H23),      Desired!I25))*(C24+D24)/100</f>
        <v>0.5</v>
      </c>
      <c r="W24" s="27">
        <f t="shared" si="22"/>
        <v>52.380899999999997</v>
      </c>
      <c r="X24" s="28" t="str">
        <f>IF($F24=0,"",IF(U24="????", T24,VLOOKUP(U24,'Instructor Course Information'!$M$2:$N$16,2)))</f>
        <v>A+</v>
      </c>
      <c r="Y24" s="35" t="str">
        <f>IF('Instructor Calculations'!$B24="","","????")</f>
        <v>????</v>
      </c>
    </row>
    <row r="25" spans="1:27" ht="16.5" thickTop="1" thickBot="1" x14ac:dyDescent="0.3">
      <c r="A25" s="37" t="str">
        <f>'Reordered Course Information'!A24</f>
        <v>Lab 4 Demo</v>
      </c>
      <c r="B25" s="38">
        <f>'Reordered Course Information'!B24</f>
        <v>43802</v>
      </c>
      <c r="C25" s="37">
        <f>'Reordered Course Information'!C24</f>
        <v>4</v>
      </c>
      <c r="D25" s="37">
        <f>'Reordered Course Information'!D24</f>
        <v>0</v>
      </c>
      <c r="E25" s="37">
        <f>'Reordered Course Information'!E24</f>
        <v>70</v>
      </c>
      <c r="F25" s="37">
        <f>'Reordered Course Information'!F24</f>
        <v>84</v>
      </c>
      <c r="G25" s="30">
        <f t="shared" si="15"/>
        <v>53.75</v>
      </c>
      <c r="H25" s="26">
        <f t="shared" si="16"/>
        <v>2.8</v>
      </c>
      <c r="I25" s="27">
        <f t="shared" si="17"/>
        <v>38.550000000000004</v>
      </c>
      <c r="J25" s="27">
        <f t="shared" si="18"/>
        <v>3.36</v>
      </c>
      <c r="K25" s="27">
        <f t="shared" si="19"/>
        <v>44.29</v>
      </c>
      <c r="L25" s="28" t="str">
        <f>IF($F25=0,"",VLOOKUP(F25,'Instructor Course Information'!$M$2:$N$16,2))</f>
        <v>B+/A-/A</v>
      </c>
      <c r="M25" s="32">
        <f>Planning!G24</f>
        <v>80</v>
      </c>
      <c r="N25" s="27">
        <f>(IF(Planning!G24="????",F25,IF(M25="",0,M25))*(C25+D25)/100)</f>
        <v>3.2</v>
      </c>
      <c r="O25" s="27">
        <f t="shared" si="20"/>
        <v>48.344999999999999</v>
      </c>
      <c r="P25" s="28" t="str">
        <f>IF($F25=0,"",IF(M25="????", L25,VLOOKUP(M25,'Instructor Course Information'!$M$2:$N$16,2)))</f>
        <v>B/B+/A-</v>
      </c>
      <c r="Q25" s="29">
        <f>Tracking!H24</f>
        <v>60</v>
      </c>
      <c r="R25" s="27">
        <f>IF(Tracking!H24="????",IF(Planning!G24="????",F25,IF(Planning!G24="",0,Planning!G24)),IF(Tracking!H24="",0,Tracking!H24))*(C25+D25)/100</f>
        <v>2.4</v>
      </c>
      <c r="S25" s="27">
        <f t="shared" si="21"/>
        <v>54.780899999999995</v>
      </c>
      <c r="T25" s="33" t="str">
        <f>IF($F25=0,"",IF(Q25="????", P25,VLOOKUP(Q25,'Instructor Course Information'!$M$2:$N$16,2)))</f>
        <v>D+/C-/C</v>
      </c>
      <c r="U25" s="36" t="str">
        <f>Desired!I26</f>
        <v>????</v>
      </c>
      <c r="V25" s="27">
        <f>IF(Desired!I26="",'Instructor Calculations'!R25,     IF(Desired!I26="????",       IF(Tracking!H24="????",     IF(Planning!G24="????",'Instructor Calculations'!F25, Planning!G24),   Tracking!H24),      Desired!I26))*(C25+D25)/100</f>
        <v>2.4</v>
      </c>
      <c r="W25" s="27">
        <f t="shared" si="22"/>
        <v>54.780899999999995</v>
      </c>
      <c r="X25" s="28" t="str">
        <f>IF($F25=0,"",IF(U25="????", T25,VLOOKUP(U25,'Instructor Course Information'!$M$2:$N$16,2)))</f>
        <v>D+/C-/C</v>
      </c>
      <c r="Y25" s="35" t="str">
        <f>IF('Instructor Calculations'!$B25="","","????")</f>
        <v>????</v>
      </c>
    </row>
    <row r="26" spans="1:27" ht="16.5" thickTop="1" thickBot="1" x14ac:dyDescent="0.3">
      <c r="A26" s="37" t="str">
        <f>'Reordered Course Information'!A25</f>
        <v>Lab 3/4 Report</v>
      </c>
      <c r="B26" s="38">
        <f>'Reordered Course Information'!B25</f>
        <v>43804</v>
      </c>
      <c r="C26" s="37">
        <f>'Reordered Course Information'!C25</f>
        <v>2.25</v>
      </c>
      <c r="D26" s="37">
        <f>'Reordered Course Information'!D25</f>
        <v>0</v>
      </c>
      <c r="E26" s="37">
        <f>'Reordered Course Information'!E25</f>
        <v>60</v>
      </c>
      <c r="F26" s="37">
        <f>'Reordered Course Information'!F25</f>
        <v>72</v>
      </c>
      <c r="G26" s="30">
        <f t="shared" si="15"/>
        <v>56</v>
      </c>
      <c r="H26" s="26">
        <f t="shared" si="16"/>
        <v>1.35</v>
      </c>
      <c r="I26" s="27">
        <f t="shared" si="17"/>
        <v>39.900000000000006</v>
      </c>
      <c r="J26" s="27">
        <f t="shared" si="18"/>
        <v>1.62</v>
      </c>
      <c r="K26" s="27">
        <f t="shared" si="19"/>
        <v>45.91</v>
      </c>
      <c r="L26" s="28" t="str">
        <f>IF($F26=0,"",VLOOKUP(F26,'Instructor Course Information'!$M$2:$N$16,2))</f>
        <v>C+/B-/B</v>
      </c>
      <c r="M26" s="32">
        <f>Planning!G25</f>
        <v>90</v>
      </c>
      <c r="N26" s="27">
        <f>(IF(Planning!G25="????",F26,IF(M26="",0,M26))*(C26+D26)/100)</f>
        <v>2.0249999999999999</v>
      </c>
      <c r="O26" s="27">
        <f t="shared" si="20"/>
        <v>50.37</v>
      </c>
      <c r="P26" s="28" t="str">
        <f>IF($F26=0,"",IF(M26="????", L26,VLOOKUP(M26,'Instructor Course Information'!$M$2:$N$16,2)))</f>
        <v>A/A+</v>
      </c>
      <c r="Q26" s="29">
        <f>Tracking!H25</f>
        <v>60</v>
      </c>
      <c r="R26" s="27">
        <f>IF(Tracking!H25="????",IF(Planning!G25="????",F26,IF(Planning!G25="",0,Planning!G25)),IF(Tracking!H25="",0,Tracking!H25))*(C26+D26)/100</f>
        <v>1.35</v>
      </c>
      <c r="S26" s="27">
        <f t="shared" si="21"/>
        <v>56.130899999999997</v>
      </c>
      <c r="T26" s="33" t="str">
        <f>IF($F26=0,"",IF(Q26="????", P26,VLOOKUP(Q26,'Instructor Course Information'!$M$2:$N$16,2)))</f>
        <v>D+/C-/C</v>
      </c>
      <c r="U26" s="36" t="str">
        <f>Desired!I27</f>
        <v>????</v>
      </c>
      <c r="V26" s="27">
        <f>IF(Desired!I27="",'Instructor Calculations'!R26,     IF(Desired!I27="????",       IF(Tracking!H25="????",     IF(Planning!G25="????",'Instructor Calculations'!F26, Planning!G25),   Tracking!H25),      Desired!I27))*(C26+D26)/100</f>
        <v>1.35</v>
      </c>
      <c r="W26" s="27">
        <f t="shared" si="22"/>
        <v>56.130899999999997</v>
      </c>
      <c r="X26" s="28" t="str">
        <f>IF($F26=0,"",IF(U26="????", T26,VLOOKUP(U26,'Instructor Course Information'!$M$2:$N$16,2)))</f>
        <v>D+/C-/C</v>
      </c>
      <c r="Y26" s="35" t="str">
        <f>IF('Instructor Calculations'!$B26="","","????")</f>
        <v>????</v>
      </c>
    </row>
    <row r="27" spans="1:27" ht="16.5" thickTop="1" thickBot="1" x14ac:dyDescent="0.3">
      <c r="A27" s="37" t="str">
        <f>'Reordered Course Information'!A26</f>
        <v>Pre Final EMA Submit</v>
      </c>
      <c r="B27" s="38">
        <f>'Reordered Course Information'!B26</f>
        <v>43809</v>
      </c>
      <c r="C27" s="37">
        <f>'Reordered Course Information'!C26</f>
        <v>2</v>
      </c>
      <c r="D27" s="37">
        <f>'Reordered Course Information'!D26</f>
        <v>0</v>
      </c>
      <c r="E27" s="37">
        <f>'Reordered Course Information'!E26</f>
        <v>60</v>
      </c>
      <c r="F27" s="37">
        <f>'Reordered Course Information'!F26</f>
        <v>69</v>
      </c>
      <c r="G27" s="30">
        <f t="shared" si="15"/>
        <v>58</v>
      </c>
      <c r="H27" s="26">
        <f t="shared" si="16"/>
        <v>1.2</v>
      </c>
      <c r="I27" s="27">
        <f t="shared" si="17"/>
        <v>41.100000000000009</v>
      </c>
      <c r="J27" s="27">
        <f t="shared" si="18"/>
        <v>1.38</v>
      </c>
      <c r="K27" s="27">
        <f t="shared" si="19"/>
        <v>47.29</v>
      </c>
      <c r="L27" s="28" t="str">
        <f>IF($F27=0,"",VLOOKUP(F27,'Instructor Course Information'!$M$2:$N$16,2))</f>
        <v>C/C+/B-</v>
      </c>
      <c r="M27" s="32">
        <f>Planning!G26</f>
        <v>90</v>
      </c>
      <c r="N27" s="27">
        <f>(IF(Planning!G26="????",F27,IF(M27="",0,M27))*(C27+D27)/100)</f>
        <v>1.8</v>
      </c>
      <c r="O27" s="27">
        <f t="shared" si="20"/>
        <v>52.169999999999995</v>
      </c>
      <c r="P27" s="28" t="str">
        <f>IF($F27=0,"",IF(M27="????", L27,VLOOKUP(M27,'Instructor Course Information'!$M$2:$N$16,2)))</f>
        <v>A/A+</v>
      </c>
      <c r="Q27" s="29">
        <f>Tracking!H26</f>
        <v>100</v>
      </c>
      <c r="R27" s="27">
        <f>IF(Tracking!H26="????",IF(Planning!G26="????",F27,IF(Planning!G26="",0,Planning!G26)),IF(Tracking!H26="",0,Tracking!H26))*(C27+D27)/100</f>
        <v>2</v>
      </c>
      <c r="S27" s="27">
        <f t="shared" si="21"/>
        <v>58.130899999999997</v>
      </c>
      <c r="T27" s="33" t="str">
        <f>IF($F27=0,"",IF(Q27="????", P27,VLOOKUP(Q27,'Instructor Course Information'!$M$2:$N$16,2)))</f>
        <v>A+</v>
      </c>
      <c r="U27" s="36" t="str">
        <f>Desired!I28</f>
        <v>????</v>
      </c>
      <c r="V27" s="27">
        <f>IF(Desired!I28="",'Instructor Calculations'!R27,     IF(Desired!I28="????",       IF(Tracking!H26="????",     IF(Planning!G26="????",'Instructor Calculations'!F27, Planning!G26),   Tracking!H26),      Desired!I28))*(C27+D27)/100</f>
        <v>2</v>
      </c>
      <c r="W27" s="27">
        <f t="shared" si="22"/>
        <v>58.130899999999997</v>
      </c>
      <c r="X27" s="28" t="str">
        <f>IF($F27=0,"",IF(U27="????", T27,VLOOKUP(U27,'Instructor Course Information'!$M$2:$N$16,2)))</f>
        <v>A+</v>
      </c>
      <c r="Y27" s="35" t="str">
        <f>IF('Instructor Calculations'!$B27="","","????")</f>
        <v>????</v>
      </c>
    </row>
    <row r="28" spans="1:27" ht="16.5" thickTop="1" thickBot="1" x14ac:dyDescent="0.3">
      <c r="A28" s="37" t="str">
        <f>'Reordered Course Information'!A27</f>
        <v>Final Exam</v>
      </c>
      <c r="B28" s="38">
        <f>'Reordered Course Information'!B27</f>
        <v>43814</v>
      </c>
      <c r="C28" s="37">
        <f>'Reordered Course Information'!C27</f>
        <v>42</v>
      </c>
      <c r="D28" s="37">
        <f>'Reordered Course Information'!D27</f>
        <v>0</v>
      </c>
      <c r="E28" s="37">
        <f>'Reordered Course Information'!E27</f>
        <v>70</v>
      </c>
      <c r="F28" s="37">
        <f>'Reordered Course Information'!F27</f>
        <v>80.5</v>
      </c>
      <c r="G28" s="30">
        <f t="shared" si="15"/>
        <v>100</v>
      </c>
      <c r="H28" s="26">
        <f t="shared" si="16"/>
        <v>29.4</v>
      </c>
      <c r="I28" s="27">
        <f t="shared" si="17"/>
        <v>70.5</v>
      </c>
      <c r="J28" s="27">
        <f t="shared" si="18"/>
        <v>33.81</v>
      </c>
      <c r="K28" s="27">
        <f t="shared" si="19"/>
        <v>81.099999999999994</v>
      </c>
      <c r="L28" s="28" t="str">
        <f>IF($F28=0,"",VLOOKUP(F28,'Instructor Course Information'!$M$2:$N$16,2))</f>
        <v>B/B+/A-</v>
      </c>
      <c r="M28" s="32">
        <f>Planning!G27</f>
        <v>75</v>
      </c>
      <c r="N28" s="27">
        <f>(IF(Planning!G27="????",F28,IF(M28="",0,M28))*(C28+D28)/100)</f>
        <v>31.5</v>
      </c>
      <c r="O28" s="27">
        <f t="shared" si="20"/>
        <v>83.669999999999987</v>
      </c>
      <c r="P28" s="28" t="str">
        <f>IF($F28=0,"",IF(M28="????", L28,VLOOKUP(M28,'Instructor Course Information'!$M$2:$N$16,2)))</f>
        <v>B-/B/B+</v>
      </c>
      <c r="Q28" s="29">
        <f>Tracking!H27</f>
        <v>81</v>
      </c>
      <c r="R28" s="27">
        <f>IF(Tracking!H27="????",IF(Planning!G27="????",F28,IF(Planning!G27="",0,Planning!G27)),IF(Tracking!H27="",0,Tracking!H27))*(C28+D28)/100</f>
        <v>34.020000000000003</v>
      </c>
      <c r="S28" s="27">
        <f t="shared" si="21"/>
        <v>92.150900000000007</v>
      </c>
      <c r="T28" s="33" t="str">
        <f>IF($F28=0,"",IF(Q28="????", P28,VLOOKUP(Q28,'Instructor Course Information'!$M$2:$N$16,2)))</f>
        <v>B+/A-/A</v>
      </c>
      <c r="U28" s="36" t="str">
        <f>Desired!I29</f>
        <v>????</v>
      </c>
      <c r="V28" s="27">
        <f>IF(Desired!I29="",'Instructor Calculations'!R28,     IF(Desired!I29="????",       IF(Tracking!H27="????",     IF(Planning!G27="????",'Instructor Calculations'!F28, Planning!G27),   Tracking!H27),      Desired!I29))*(C28+D28)/100</f>
        <v>34.020000000000003</v>
      </c>
      <c r="W28" s="27">
        <f t="shared" si="22"/>
        <v>92.150900000000007</v>
      </c>
      <c r="X28" s="28" t="str">
        <f>IF($F28=0,"",IF(U28="????", T28,VLOOKUP(U28,'Instructor Course Information'!$M$2:$N$16,2)))</f>
        <v>B+/A-/A</v>
      </c>
      <c r="Y28" s="35" t="str">
        <f>IF('Instructor Calculations'!$B28="","","????")</f>
        <v>????</v>
      </c>
    </row>
    <row r="29" spans="1:27" ht="16.5" thickTop="1" thickBot="1" x14ac:dyDescent="0.3">
      <c r="A29" s="37" t="str">
        <f>'Reordered Course Information'!A28</f>
        <v>In Final Exam prediction</v>
      </c>
      <c r="B29" s="38">
        <f>'Reordered Course Information'!B28</f>
        <v>43814</v>
      </c>
      <c r="C29" s="37">
        <f>'Reordered Course Information'!C28</f>
        <v>0</v>
      </c>
      <c r="D29" s="37">
        <f>'Reordered Course Information'!D28</f>
        <v>1</v>
      </c>
      <c r="E29" s="37">
        <f>'Reordered Course Information'!E28</f>
        <v>1E-3</v>
      </c>
      <c r="F29" s="37">
        <f>'Reordered Course Information'!F28</f>
        <v>1.15E-3</v>
      </c>
      <c r="G29" s="30">
        <f t="shared" si="3"/>
        <v>100</v>
      </c>
      <c r="H29" s="26">
        <f t="shared" ref="H29:H54" si="23">E29*C29/100</f>
        <v>0</v>
      </c>
      <c r="I29" s="27">
        <f t="shared" ref="I29:I54" si="24">H29+I28</f>
        <v>70.5</v>
      </c>
      <c r="J29" s="27">
        <f t="shared" ref="J29:J54" si="25">F29*C29/100</f>
        <v>0</v>
      </c>
      <c r="K29" s="27">
        <f t="shared" si="5"/>
        <v>81.099999999999994</v>
      </c>
      <c r="L29" s="28">
        <f>IF($F29=0,"",VLOOKUP(F29,'Instructor Course Information'!$M$2:$N$16,2))</f>
        <v>0</v>
      </c>
      <c r="M29" s="32">
        <f>Planning!G28</f>
        <v>90</v>
      </c>
      <c r="N29" s="27">
        <f>(IF(Planning!G28="????",F29,IF(M29="",0,M29))*(C29+D29)/100)</f>
        <v>0.9</v>
      </c>
      <c r="O29" s="27">
        <f t="shared" si="6"/>
        <v>84.57</v>
      </c>
      <c r="P29" s="28" t="str">
        <f>IF($F29=0,"",IF(M29="????", L29,VLOOKUP(M29,'Instructor Course Information'!$M$2:$N$16,2)))</f>
        <v>A/A+</v>
      </c>
      <c r="Q29" s="29"/>
      <c r="R29" s="27">
        <f>IF(Tracking!H28="????",IF(Planning!G28="????",F29,IF(Planning!G28="",0,Planning!G28)),IF(Tracking!H28="",0,Tracking!H28))*(C29+D29)/100</f>
        <v>0.7</v>
      </c>
      <c r="S29" s="27">
        <f t="shared" si="7"/>
        <v>92.85090000000001</v>
      </c>
      <c r="T29" s="33">
        <f>IF($F29=0,"",IF(Q29="????", P29,VLOOKUP(Q29,'Instructor Course Information'!$M$2:$N$16,2)))</f>
        <v>0</v>
      </c>
      <c r="U29" s="36" t="str">
        <f>Desired!I30</f>
        <v>????</v>
      </c>
      <c r="V29" s="27">
        <f>IF(Desired!I30="",'Instructor Calculations'!R29,     IF(Desired!I30="????",       IF(Tracking!H28="????",     IF(Planning!G28="????",'Instructor Calculations'!F29, Planning!G28),   Tracking!H28),      Desired!I30))*(C29+D29)/100</f>
        <v>0.7</v>
      </c>
      <c r="W29" s="27">
        <f t="shared" si="8"/>
        <v>92.85090000000001</v>
      </c>
      <c r="X29" s="28">
        <f>IF($F29=0,"",IF(U29="????", T29,VLOOKUP(U29,'Instructor Course Information'!$M$2:$N$16,2)))</f>
        <v>0</v>
      </c>
      <c r="Y29" s="35" t="str">
        <f>IF('Instructor Calculations'!$B29="","","????")</f>
        <v>????</v>
      </c>
      <c r="Z29" t="str">
        <f t="shared" ref="Z29:Z54" si="26">IF(B29="","","????")</f>
        <v>????</v>
      </c>
    </row>
    <row r="30" spans="1:27" ht="16.5" thickTop="1" thickBot="1" x14ac:dyDescent="0.3">
      <c r="A30" s="37"/>
      <c r="B30" s="38"/>
      <c r="C30" s="37"/>
      <c r="D30" s="37"/>
      <c r="E30" s="37"/>
      <c r="F30" s="37"/>
      <c r="G30" s="30">
        <f t="shared" si="3"/>
        <v>100</v>
      </c>
      <c r="H30" s="26">
        <f t="shared" si="23"/>
        <v>0</v>
      </c>
      <c r="I30" s="27">
        <f t="shared" si="24"/>
        <v>70.5</v>
      </c>
      <c r="J30" s="27">
        <f t="shared" si="25"/>
        <v>0</v>
      </c>
      <c r="K30" s="27">
        <f t="shared" si="5"/>
        <v>81.099999999999994</v>
      </c>
      <c r="L30" s="28" t="str">
        <f>IF($F30=0,"",VLOOKUP(F30,'Instructor Course Information'!$M$2:$N$16,2))</f>
        <v/>
      </c>
      <c r="M30" s="32" t="str">
        <f>Planning!G29</f>
        <v/>
      </c>
      <c r="N30" s="27">
        <f>(IF(Planning!G29="????",F30,IF(M30="",0,M30))*(C30+D30)/100)</f>
        <v>0</v>
      </c>
      <c r="O30" s="27">
        <f t="shared" si="6"/>
        <v>84.57</v>
      </c>
      <c r="P30" s="28" t="str">
        <f>IF($F30=0,"",IF(M30="????", L30,VLOOKUP(M30,'Instructor Course Information'!$M$2:$N$16,2)))</f>
        <v/>
      </c>
      <c r="Q30" s="29"/>
      <c r="R30" s="27">
        <f>IF(Tracking!H29="????",IF(Planning!G29="????",F30,IF(Planning!G29="",0,Planning!G29)),IF(Tracking!H29="",0,Tracking!H29))*(C30+D30)/100</f>
        <v>0</v>
      </c>
      <c r="S30" s="27">
        <f t="shared" si="7"/>
        <v>92.85090000000001</v>
      </c>
      <c r="T30" s="33" t="str">
        <f>IF($F30=0,"",IF(Q30="????", P30,VLOOKUP(Q30,'Instructor Course Information'!$M$2:$N$16,2)))</f>
        <v/>
      </c>
      <c r="U30" s="36" t="str">
        <f>Desired!I31</f>
        <v/>
      </c>
      <c r="V30" s="27">
        <f>IF(Desired!I31="",'Instructor Calculations'!R30,     IF(Desired!I31="????",       IF(Tracking!H29="????",     IF(Planning!G29="????",'Instructor Calculations'!F30, Planning!G29),   Tracking!H29),      Desired!I31))*(C30+D30)/100</f>
        <v>0</v>
      </c>
      <c r="W30" s="27">
        <f t="shared" si="8"/>
        <v>92.85090000000001</v>
      </c>
      <c r="X30" s="28" t="str">
        <f>IF($F30=0,"",IF(U30="????", T30,VLOOKUP(U30,'Instructor Course Information'!$M$2:$N$16,2)))</f>
        <v/>
      </c>
      <c r="Y30" s="35" t="str">
        <f>IF('Instructor Calculations'!$B30="","","????")</f>
        <v/>
      </c>
      <c r="Z30" t="str">
        <f t="shared" si="26"/>
        <v/>
      </c>
    </row>
    <row r="31" spans="1:27" ht="16.5" thickTop="1" thickBot="1" x14ac:dyDescent="0.3">
      <c r="A31" s="37"/>
      <c r="B31" s="38"/>
      <c r="C31" s="37"/>
      <c r="D31" s="37"/>
      <c r="E31" s="37"/>
      <c r="F31" s="37"/>
      <c r="G31" s="30">
        <f t="shared" si="3"/>
        <v>100</v>
      </c>
      <c r="H31" s="26">
        <f t="shared" si="23"/>
        <v>0</v>
      </c>
      <c r="I31" s="27">
        <f t="shared" si="24"/>
        <v>70.5</v>
      </c>
      <c r="J31" s="27">
        <f t="shared" si="25"/>
        <v>0</v>
      </c>
      <c r="K31" s="27">
        <f t="shared" si="5"/>
        <v>81.099999999999994</v>
      </c>
      <c r="L31" s="28" t="str">
        <f>IF($F31=0,"",VLOOKUP(F31,'Instructor Course Information'!$M$2:$N$16,2))</f>
        <v/>
      </c>
      <c r="M31" s="32" t="str">
        <f>Planning!G30</f>
        <v/>
      </c>
      <c r="N31" s="27">
        <f>(IF(Planning!G30="????",F31,IF(M31="",0,M31))*(C31+D31)/100)</f>
        <v>0</v>
      </c>
      <c r="O31" s="27">
        <f t="shared" si="6"/>
        <v>84.57</v>
      </c>
      <c r="P31" s="28" t="str">
        <f>IF($F31=0,"",IF(M31="????", L31,VLOOKUP(M31,'Instructor Course Information'!$M$2:$N$16,2)))</f>
        <v/>
      </c>
      <c r="Q31" s="29"/>
      <c r="R31" s="27">
        <f>IF(Tracking!H30="????",IF(Planning!G30="????",F31,IF(Planning!G30="",0,Planning!G30)),IF(Tracking!H30="",0,Tracking!H30))*(C31+D31)/100</f>
        <v>0</v>
      </c>
      <c r="S31" s="27">
        <f t="shared" si="7"/>
        <v>92.85090000000001</v>
      </c>
      <c r="T31" s="33" t="str">
        <f>IF($F31=0,"",IF(Q31="????", P31,VLOOKUP(Q31,'Instructor Course Information'!$M$2:$N$16,2)))</f>
        <v/>
      </c>
      <c r="U31" s="36" t="str">
        <f>Desired!I32</f>
        <v/>
      </c>
      <c r="V31" s="27">
        <f>IF(Desired!I32="",'Instructor Calculations'!R31,     IF(Desired!I32="????",       IF(Tracking!H30="????",     IF(Planning!G30="????",'Instructor Calculations'!F31, Planning!G30),   Tracking!H30),      Desired!I32))*(C31+D31)/100</f>
        <v>0</v>
      </c>
      <c r="W31" s="27">
        <f t="shared" si="8"/>
        <v>92.85090000000001</v>
      </c>
      <c r="X31" s="28" t="str">
        <f>IF($F31=0,"",IF(U31="????", T31,VLOOKUP(U31,'Instructor Course Information'!$M$2:$N$16,2)))</f>
        <v/>
      </c>
      <c r="Y31" s="35" t="str">
        <f>IF('Instructor Calculations'!$B31="","","????")</f>
        <v/>
      </c>
      <c r="Z31" t="str">
        <f t="shared" si="26"/>
        <v/>
      </c>
    </row>
    <row r="32" spans="1:27" ht="16.5" thickTop="1" thickBot="1" x14ac:dyDescent="0.3">
      <c r="A32" s="37"/>
      <c r="B32" s="38"/>
      <c r="C32" s="37"/>
      <c r="D32" s="37"/>
      <c r="E32" s="37"/>
      <c r="F32" s="37"/>
      <c r="G32" s="30">
        <f t="shared" si="3"/>
        <v>100</v>
      </c>
      <c r="H32" s="26">
        <f t="shared" si="23"/>
        <v>0</v>
      </c>
      <c r="I32" s="27">
        <f t="shared" si="24"/>
        <v>70.5</v>
      </c>
      <c r="J32" s="27">
        <f t="shared" si="25"/>
        <v>0</v>
      </c>
      <c r="K32" s="27">
        <f t="shared" si="5"/>
        <v>81.099999999999994</v>
      </c>
      <c r="L32" s="28" t="str">
        <f>IF($F32=0,"",VLOOKUP(F32,'Instructor Course Information'!$M$2:$N$16,2))</f>
        <v/>
      </c>
      <c r="M32" s="32" t="str">
        <f>Planning!G31</f>
        <v/>
      </c>
      <c r="N32" s="27">
        <f>(IF(Planning!G31="????",F32,IF(M32="",0,M32))*(C32+D32)/100)</f>
        <v>0</v>
      </c>
      <c r="O32" s="27">
        <f t="shared" si="6"/>
        <v>84.57</v>
      </c>
      <c r="P32" s="28" t="str">
        <f>IF($F32=0,"",IF(M32="????", L32,VLOOKUP(M32,'Instructor Course Information'!$M$2:$N$16,2)))</f>
        <v/>
      </c>
      <c r="Q32" s="29"/>
      <c r="R32" s="27">
        <f>IF(Tracking!H31="????",IF(Planning!G31="????",F32,IF(Planning!G31="",0,Planning!G31)),IF(Tracking!H31="",0,Tracking!H31))*(C32+D32)/100</f>
        <v>0</v>
      </c>
      <c r="S32" s="27">
        <f t="shared" si="7"/>
        <v>92.85090000000001</v>
      </c>
      <c r="T32" s="33" t="str">
        <f>IF($F32=0,"",IF(Q32="????", P32,VLOOKUP(Q32,'Instructor Course Information'!$M$2:$N$16,2)))</f>
        <v/>
      </c>
      <c r="U32" s="36" t="str">
        <f>Desired!I33</f>
        <v/>
      </c>
      <c r="V32" s="27">
        <f>IF(Desired!I33="",'Instructor Calculations'!R32,     IF(Desired!I33="????",       IF(Tracking!H31="????",     IF(Planning!G31="????",'Instructor Calculations'!F32, Planning!G31),   Tracking!H31),      Desired!I33))*(C32+D32)/100</f>
        <v>0</v>
      </c>
      <c r="W32" s="27">
        <f t="shared" si="8"/>
        <v>92.85090000000001</v>
      </c>
      <c r="X32" s="28" t="str">
        <f>IF($F32=0,"",IF(U32="????", T32,VLOOKUP(U32,'Instructor Course Information'!$M$2:$N$16,2)))</f>
        <v/>
      </c>
      <c r="Y32" s="35" t="str">
        <f>IF('Instructor Calculations'!$B32="","","????")</f>
        <v/>
      </c>
      <c r="Z32" t="str">
        <f t="shared" si="26"/>
        <v/>
      </c>
    </row>
    <row r="33" spans="1:26" ht="16.5" thickTop="1" thickBot="1" x14ac:dyDescent="0.3">
      <c r="A33" s="37"/>
      <c r="B33" s="38"/>
      <c r="C33" s="37"/>
      <c r="D33" s="37"/>
      <c r="E33" s="37"/>
      <c r="F33" s="37"/>
      <c r="G33" s="30">
        <f t="shared" si="3"/>
        <v>100</v>
      </c>
      <c r="H33" s="26">
        <f t="shared" si="23"/>
        <v>0</v>
      </c>
      <c r="I33" s="27">
        <f t="shared" si="24"/>
        <v>70.5</v>
      </c>
      <c r="J33" s="27">
        <f t="shared" si="25"/>
        <v>0</v>
      </c>
      <c r="K33" s="27">
        <f t="shared" si="5"/>
        <v>81.099999999999994</v>
      </c>
      <c r="L33" s="28" t="str">
        <f>IF($F33=0,"",VLOOKUP(F33,'Instructor Course Information'!$M$2:$N$16,2))</f>
        <v/>
      </c>
      <c r="M33" s="32" t="str">
        <f>Planning!G32</f>
        <v/>
      </c>
      <c r="N33" s="27">
        <f>(IF(Planning!G32="????",F33,IF(M33="",0,M33))*(C33+D33)/100)</f>
        <v>0</v>
      </c>
      <c r="O33" s="27">
        <f t="shared" si="6"/>
        <v>84.57</v>
      </c>
      <c r="P33" s="28" t="str">
        <f>IF($F33=0,"",IF(M33="????", L33,VLOOKUP(M33,'Instructor Course Information'!$M$2:$N$16,2)))</f>
        <v/>
      </c>
      <c r="Q33" s="29"/>
      <c r="R33" s="27">
        <f>IF(Tracking!H32="????",IF(Planning!G32="????",F33,IF(Planning!G32="",0,Planning!G32)),IF(Tracking!H32="",0,Tracking!H32))*(C33+D33)/100</f>
        <v>0</v>
      </c>
      <c r="S33" s="27">
        <f t="shared" si="7"/>
        <v>92.85090000000001</v>
      </c>
      <c r="T33" s="33" t="str">
        <f>IF($F33=0,"",IF(Q33="????", P33,VLOOKUP(Q33,'Instructor Course Information'!$M$2:$N$16,2)))</f>
        <v/>
      </c>
      <c r="U33" s="36" t="str">
        <f>Desired!I34</f>
        <v/>
      </c>
      <c r="V33" s="27">
        <f>IF(Desired!I34="",'Instructor Calculations'!R33,     IF(Desired!I34="????",       IF(Tracking!H32="????",     IF(Planning!G32="????",'Instructor Calculations'!F33, Planning!G32),   Tracking!H32),      Desired!I34))*(C33+D33)/100</f>
        <v>0</v>
      </c>
      <c r="W33" s="27">
        <f t="shared" si="8"/>
        <v>92.85090000000001</v>
      </c>
      <c r="X33" s="28" t="str">
        <f>IF($F33=0,"",IF(U33="????", T33,VLOOKUP(U33,'Instructor Course Information'!$M$2:$N$16,2)))</f>
        <v/>
      </c>
      <c r="Y33" s="35" t="str">
        <f>IF('Instructor Calculations'!$B33="","","????")</f>
        <v/>
      </c>
      <c r="Z33" t="str">
        <f t="shared" si="26"/>
        <v/>
      </c>
    </row>
    <row r="34" spans="1:26" ht="16.5" thickTop="1" thickBot="1" x14ac:dyDescent="0.3">
      <c r="A34" s="37"/>
      <c r="B34" s="38"/>
      <c r="C34" s="37"/>
      <c r="D34" s="37"/>
      <c r="E34" s="37"/>
      <c r="F34" s="37"/>
      <c r="G34" s="30">
        <f t="shared" si="3"/>
        <v>100</v>
      </c>
      <c r="H34" s="26">
        <f t="shared" si="23"/>
        <v>0</v>
      </c>
      <c r="I34" s="27">
        <f t="shared" si="24"/>
        <v>70.5</v>
      </c>
      <c r="J34" s="27">
        <f t="shared" si="25"/>
        <v>0</v>
      </c>
      <c r="K34" s="27">
        <f t="shared" si="5"/>
        <v>81.099999999999994</v>
      </c>
      <c r="L34" s="28" t="str">
        <f>IF($F34=0,"",VLOOKUP(F34,'Instructor Course Information'!$M$2:$N$16,2))</f>
        <v/>
      </c>
      <c r="M34" s="32" t="str">
        <f>Planning!G33</f>
        <v/>
      </c>
      <c r="N34" s="27">
        <f>(IF(Planning!G33="????",F34,IF(M34="",0,M34))*(C34+D34)/100)</f>
        <v>0</v>
      </c>
      <c r="O34" s="27">
        <f t="shared" si="6"/>
        <v>84.57</v>
      </c>
      <c r="P34" s="28" t="str">
        <f>IF($F34=0,"",IF(M34="????", L34,VLOOKUP(M34,'Instructor Course Information'!$M$2:$N$16,2)))</f>
        <v/>
      </c>
      <c r="Q34" s="29"/>
      <c r="R34" s="27">
        <f>IF(Tracking!H33="????",IF(Planning!G33="????",F34,IF(Planning!G33="",0,Planning!G33)),IF(Tracking!H33="",0,Tracking!H33))*(C34+D34)/100</f>
        <v>0</v>
      </c>
      <c r="S34" s="27">
        <f t="shared" si="7"/>
        <v>92.85090000000001</v>
      </c>
      <c r="T34" s="33" t="str">
        <f>IF($F34=0,"",IF(Q34="????", P34,VLOOKUP(Q34,'Instructor Course Information'!$M$2:$N$16,2)))</f>
        <v/>
      </c>
      <c r="U34" s="36" t="str">
        <f>Desired!I35</f>
        <v/>
      </c>
      <c r="V34" s="27">
        <f>IF(Desired!I35="",'Instructor Calculations'!R34,     IF(Desired!I35="????",       IF(Tracking!H33="????",     IF(Planning!G33="????",'Instructor Calculations'!F34, Planning!G33),   Tracking!H33),      Desired!I35))*(C34+D34)/100</f>
        <v>0</v>
      </c>
      <c r="W34" s="27">
        <f t="shared" si="8"/>
        <v>92.85090000000001</v>
      </c>
      <c r="X34" s="28" t="str">
        <f>IF($F34=0,"",IF(U34="????", T34,VLOOKUP(U34,'Instructor Course Information'!$M$2:$N$16,2)))</f>
        <v/>
      </c>
      <c r="Y34" s="35" t="str">
        <f>IF('Instructor Calculations'!$B34="","","????")</f>
        <v/>
      </c>
      <c r="Z34" t="str">
        <f t="shared" si="26"/>
        <v/>
      </c>
    </row>
    <row r="35" spans="1:26" ht="16.5" thickTop="1" thickBot="1" x14ac:dyDescent="0.3">
      <c r="A35" s="37"/>
      <c r="B35" s="38"/>
      <c r="C35" s="37"/>
      <c r="D35" s="37"/>
      <c r="E35" s="37"/>
      <c r="F35" s="37"/>
      <c r="G35" s="30">
        <f t="shared" si="3"/>
        <v>100</v>
      </c>
      <c r="H35" s="26">
        <f t="shared" si="23"/>
        <v>0</v>
      </c>
      <c r="I35" s="27">
        <f t="shared" si="24"/>
        <v>70.5</v>
      </c>
      <c r="J35" s="27">
        <f t="shared" si="25"/>
        <v>0</v>
      </c>
      <c r="K35" s="27">
        <f t="shared" si="5"/>
        <v>81.099999999999994</v>
      </c>
      <c r="L35" s="28" t="str">
        <f>IF($F35=0,"",VLOOKUP(F35,'Instructor Course Information'!$M$2:$N$16,2))</f>
        <v/>
      </c>
      <c r="M35" s="32" t="str">
        <f>Planning!G34</f>
        <v/>
      </c>
      <c r="N35" s="27">
        <f>(IF(Planning!G34="????",F35,IF(M35="",0,M35))*(C35+D35)/100)</f>
        <v>0</v>
      </c>
      <c r="O35" s="27">
        <f t="shared" si="6"/>
        <v>84.57</v>
      </c>
      <c r="P35" s="28" t="str">
        <f>IF($F35=0,"",IF(M35="????", L35,VLOOKUP(M35,'Instructor Course Information'!$M$2:$N$16,2)))</f>
        <v/>
      </c>
      <c r="Q35" s="29"/>
      <c r="R35" s="27">
        <f>IF(Tracking!H34="????",IF(Planning!G34="????",F35,IF(Planning!G34="",0,Planning!G34)),IF(Tracking!H34="",0,Tracking!H34))*(C35+D35)/100</f>
        <v>0</v>
      </c>
      <c r="S35" s="27">
        <f t="shared" si="7"/>
        <v>92.85090000000001</v>
      </c>
      <c r="T35" s="33" t="str">
        <f>IF($F35=0,"",IF(Q35="????", P35,VLOOKUP(Q35,'Instructor Course Information'!$M$2:$N$16,2)))</f>
        <v/>
      </c>
      <c r="U35" s="36" t="str">
        <f>Desired!I36</f>
        <v/>
      </c>
      <c r="V35" s="27">
        <f>IF(Desired!I36="",'Instructor Calculations'!R35,     IF(Desired!I36="????",       IF(Tracking!H34="????",     IF(Planning!G34="????",'Instructor Calculations'!F35, Planning!G34),   Tracking!H34),      Desired!I36))*(C35+D35)/100</f>
        <v>0</v>
      </c>
      <c r="W35" s="27">
        <f t="shared" si="8"/>
        <v>92.85090000000001</v>
      </c>
      <c r="X35" s="28" t="str">
        <f>IF($F35=0,"",IF(U35="????", T35,VLOOKUP(U35,'Instructor Course Information'!$M$2:$N$16,2)))</f>
        <v/>
      </c>
      <c r="Y35" s="35" t="str">
        <f>IF('Instructor Calculations'!$B35="","","????")</f>
        <v/>
      </c>
      <c r="Z35" t="str">
        <f t="shared" si="26"/>
        <v/>
      </c>
    </row>
    <row r="36" spans="1:26" ht="16.5" thickTop="1" thickBot="1" x14ac:dyDescent="0.3">
      <c r="A36" s="37"/>
      <c r="B36" s="38"/>
      <c r="C36" s="37"/>
      <c r="D36" s="37"/>
      <c r="E36" s="37"/>
      <c r="F36" s="37"/>
      <c r="G36" s="30">
        <f t="shared" si="3"/>
        <v>100</v>
      </c>
      <c r="H36" s="26">
        <f t="shared" si="23"/>
        <v>0</v>
      </c>
      <c r="I36" s="27">
        <f t="shared" si="24"/>
        <v>70.5</v>
      </c>
      <c r="J36" s="27">
        <f t="shared" si="25"/>
        <v>0</v>
      </c>
      <c r="K36" s="27">
        <f t="shared" si="5"/>
        <v>81.099999999999994</v>
      </c>
      <c r="L36" s="28" t="str">
        <f>IF($F36=0,"",VLOOKUP(F36,'Instructor Course Information'!$M$2:$N$16,2))</f>
        <v/>
      </c>
      <c r="M36" s="32" t="str">
        <f>Planning!G35</f>
        <v/>
      </c>
      <c r="N36" s="27">
        <f>(IF(Planning!G35="????",F36,IF(M36="",0,M36))*(C36+D36)/100)</f>
        <v>0</v>
      </c>
      <c r="O36" s="27">
        <f t="shared" si="6"/>
        <v>84.57</v>
      </c>
      <c r="P36" s="28" t="str">
        <f>IF($F36=0,"",IF(M36="????", L36,VLOOKUP(M36,'Instructor Course Information'!$M$2:$N$16,2)))</f>
        <v/>
      </c>
      <c r="Q36" s="29"/>
      <c r="R36" s="27">
        <f>IF(Tracking!H35="????",IF(Planning!G35="????",F36,IF(Planning!G35="",0,Planning!G35)),IF(Tracking!H35="",0,Tracking!H35))*(C36+D36)/100</f>
        <v>0</v>
      </c>
      <c r="S36" s="27">
        <f t="shared" si="7"/>
        <v>92.85090000000001</v>
      </c>
      <c r="T36" s="33" t="str">
        <f>IF($F36=0,"",IF(Q36="????", P36,VLOOKUP(Q36,'Instructor Course Information'!$M$2:$N$16,2)))</f>
        <v/>
      </c>
      <c r="U36" s="36" t="str">
        <f>Desired!I37</f>
        <v/>
      </c>
      <c r="V36" s="27">
        <f>IF(Desired!I37="",'Instructor Calculations'!R36,     IF(Desired!I37="????",       IF(Tracking!H35="????",     IF(Planning!G35="????",'Instructor Calculations'!F36, Planning!G35),   Tracking!H35),      Desired!I37))*(C36+D36)/100</f>
        <v>0</v>
      </c>
      <c r="W36" s="27">
        <f t="shared" si="8"/>
        <v>92.85090000000001</v>
      </c>
      <c r="X36" s="28" t="str">
        <f>IF($F36=0,"",IF(U36="????", T36,VLOOKUP(U36,'Instructor Course Information'!$M$2:$N$16,2)))</f>
        <v/>
      </c>
      <c r="Y36" s="35" t="str">
        <f>IF('Instructor Calculations'!$B36="","","????")</f>
        <v/>
      </c>
      <c r="Z36" t="str">
        <f t="shared" si="26"/>
        <v/>
      </c>
    </row>
    <row r="37" spans="1:26" ht="16.5" thickTop="1" thickBot="1" x14ac:dyDescent="0.3">
      <c r="A37" s="37"/>
      <c r="B37" s="38"/>
      <c r="C37" s="37"/>
      <c r="D37" s="37"/>
      <c r="E37" s="37"/>
      <c r="F37" s="37"/>
      <c r="G37" s="30">
        <f t="shared" si="3"/>
        <v>100</v>
      </c>
      <c r="H37" s="26">
        <f t="shared" si="23"/>
        <v>0</v>
      </c>
      <c r="I37" s="27">
        <f t="shared" si="24"/>
        <v>70.5</v>
      </c>
      <c r="J37" s="27">
        <f t="shared" si="25"/>
        <v>0</v>
      </c>
      <c r="K37" s="27">
        <f t="shared" si="5"/>
        <v>81.099999999999994</v>
      </c>
      <c r="L37" s="28" t="str">
        <f>IF($F37=0,"",VLOOKUP(F37,'Instructor Course Information'!$M$2:$N$16,2))</f>
        <v/>
      </c>
      <c r="M37" s="32" t="str">
        <f>Planning!G36</f>
        <v/>
      </c>
      <c r="N37" s="27">
        <f>(IF(Planning!G36="????",F37,IF(M37="",0,M37))*(C37+D37)/100)</f>
        <v>0</v>
      </c>
      <c r="O37" s="27">
        <f t="shared" si="6"/>
        <v>84.57</v>
      </c>
      <c r="P37" s="28" t="str">
        <f>IF($F37=0,"",IF(M37="????", L37,VLOOKUP(M37,'Instructor Course Information'!$M$2:$N$16,2)))</f>
        <v/>
      </c>
      <c r="Q37" s="29"/>
      <c r="R37" s="27">
        <f>IF(Tracking!H36="????",IF(Planning!G36="????",F37,IF(Planning!G36="",0,Planning!G36)),IF(Tracking!H36="",0,Tracking!H36))*(C37+D37)/100</f>
        <v>0</v>
      </c>
      <c r="S37" s="27">
        <f t="shared" si="7"/>
        <v>92.85090000000001</v>
      </c>
      <c r="T37" s="33" t="str">
        <f>IF($F37=0,"",IF(Q37="????", P37,VLOOKUP(Q37,'Instructor Course Information'!$M$2:$N$16,2)))</f>
        <v/>
      </c>
      <c r="U37" s="36" t="str">
        <f>Desired!I38</f>
        <v/>
      </c>
      <c r="V37" s="27">
        <f>IF(Desired!I38="",'Instructor Calculations'!R37,     IF(Desired!I38="????",       IF(Tracking!H36="????",     IF(Planning!G36="????",'Instructor Calculations'!F37, Planning!G36),   Tracking!H36),      Desired!I38))*(C37+D37)/100</f>
        <v>0</v>
      </c>
      <c r="W37" s="27">
        <f t="shared" si="8"/>
        <v>92.85090000000001</v>
      </c>
      <c r="X37" s="28" t="str">
        <f>IF($F37=0,"",IF(U37="????", T37,VLOOKUP(U37,'Instructor Course Information'!$M$2:$N$16,2)))</f>
        <v/>
      </c>
      <c r="Y37" s="35" t="str">
        <f>IF('Instructor Calculations'!$B37="","","????")</f>
        <v/>
      </c>
      <c r="Z37" t="str">
        <f t="shared" si="26"/>
        <v/>
      </c>
    </row>
    <row r="38" spans="1:26" ht="16.5" thickTop="1" thickBot="1" x14ac:dyDescent="0.3">
      <c r="A38" s="37"/>
      <c r="B38" s="38"/>
      <c r="C38" s="37"/>
      <c r="D38" s="37"/>
      <c r="E38" s="37"/>
      <c r="F38" s="37"/>
      <c r="G38" s="30">
        <f t="shared" si="3"/>
        <v>100</v>
      </c>
      <c r="H38" s="26">
        <f t="shared" si="23"/>
        <v>0</v>
      </c>
      <c r="I38" s="27">
        <f t="shared" si="24"/>
        <v>70.5</v>
      </c>
      <c r="J38" s="27">
        <f t="shared" si="25"/>
        <v>0</v>
      </c>
      <c r="K38" s="27">
        <f t="shared" si="5"/>
        <v>81.099999999999994</v>
      </c>
      <c r="L38" s="28" t="str">
        <f>IF($F38=0,"",VLOOKUP(F38,'Instructor Course Information'!$M$2:$N$16,2))</f>
        <v/>
      </c>
      <c r="M38" s="32" t="str">
        <f>Planning!G37</f>
        <v/>
      </c>
      <c r="N38" s="27">
        <f>(IF(Planning!G37="????",F38,IF(M38="",0,M38))*(C38+D38)/100)</f>
        <v>0</v>
      </c>
      <c r="O38" s="27">
        <f t="shared" si="6"/>
        <v>84.57</v>
      </c>
      <c r="P38" s="28" t="str">
        <f>IF($F38=0,"",IF(M38="????", L38,VLOOKUP(M38,'Instructor Course Information'!$M$2:$N$16,2)))</f>
        <v/>
      </c>
      <c r="Q38" s="29"/>
      <c r="R38" s="27">
        <f>IF(Tracking!H37="????",IF(Planning!G37="????",F38,IF(Planning!G37="",0,Planning!G37)),IF(Tracking!H37="",0,Tracking!H37))*(C38+D38)/100</f>
        <v>0</v>
      </c>
      <c r="S38" s="27">
        <f t="shared" si="7"/>
        <v>92.85090000000001</v>
      </c>
      <c r="T38" s="33" t="str">
        <f>IF($F38=0,"",IF(Q38="????", P38,VLOOKUP(Q38,'Instructor Course Information'!$M$2:$N$16,2)))</f>
        <v/>
      </c>
      <c r="U38" s="36" t="str">
        <f>Desired!I39</f>
        <v/>
      </c>
      <c r="V38" s="27">
        <f>IF(Desired!I39="",'Instructor Calculations'!R38,     IF(Desired!I39="????",       IF(Tracking!H37="????",     IF(Planning!G37="????",'Instructor Calculations'!F38, Planning!G37),   Tracking!H37),      Desired!I39))*(C38+D38)/100</f>
        <v>0</v>
      </c>
      <c r="W38" s="27">
        <f t="shared" si="8"/>
        <v>92.85090000000001</v>
      </c>
      <c r="X38" s="28" t="str">
        <f>IF($F38=0,"",IF(U38="????", T38,VLOOKUP(U38,'Instructor Course Information'!$M$2:$N$16,2)))</f>
        <v/>
      </c>
      <c r="Y38" s="35" t="str">
        <f>IF('Instructor Calculations'!$B38="","","????")</f>
        <v/>
      </c>
      <c r="Z38" t="str">
        <f t="shared" si="26"/>
        <v/>
      </c>
    </row>
    <row r="39" spans="1:26" ht="16.5" thickTop="1" thickBot="1" x14ac:dyDescent="0.3">
      <c r="A39" s="37"/>
      <c r="B39" s="38"/>
      <c r="C39" s="37"/>
      <c r="D39" s="37"/>
      <c r="E39" s="37"/>
      <c r="F39" s="37"/>
      <c r="G39" s="30">
        <f t="shared" si="3"/>
        <v>100</v>
      </c>
      <c r="H39" s="26">
        <f t="shared" si="23"/>
        <v>0</v>
      </c>
      <c r="I39" s="27">
        <f t="shared" si="24"/>
        <v>70.5</v>
      </c>
      <c r="J39" s="27">
        <f t="shared" si="25"/>
        <v>0</v>
      </c>
      <c r="K39" s="27">
        <f t="shared" si="5"/>
        <v>81.099999999999994</v>
      </c>
      <c r="L39" s="28" t="str">
        <f>IF($F39=0,"",VLOOKUP(F39,'Instructor Course Information'!$M$2:$N$16,2))</f>
        <v/>
      </c>
      <c r="M39" s="32" t="str">
        <f>Planning!G38</f>
        <v/>
      </c>
      <c r="N39" s="27">
        <f>(IF(Planning!G38="????",F39,IF(M39="",0,M39))*(C39+D39)/100)</f>
        <v>0</v>
      </c>
      <c r="O39" s="27">
        <f t="shared" si="6"/>
        <v>84.57</v>
      </c>
      <c r="P39" s="28" t="str">
        <f>IF($F39=0,"",IF(M39="????", L39,VLOOKUP(M39,'Instructor Course Information'!$M$2:$N$16,2)))</f>
        <v/>
      </c>
      <c r="Q39" s="29"/>
      <c r="R39" s="27">
        <f>IF(Tracking!H38="????",IF(Planning!G38="????",F39,IF(Planning!G38="",0,Planning!G38)),IF(Tracking!H38="",0,Tracking!H38))*(C39+D39)/100</f>
        <v>0</v>
      </c>
      <c r="S39" s="27">
        <f t="shared" si="7"/>
        <v>92.85090000000001</v>
      </c>
      <c r="T39" s="33" t="str">
        <f>IF($F39=0,"",IF(Q39="????", P39,VLOOKUP(Q39,'Instructor Course Information'!$M$2:$N$16,2)))</f>
        <v/>
      </c>
      <c r="U39" s="36" t="str">
        <f>Desired!I40</f>
        <v/>
      </c>
      <c r="V39" s="27">
        <f>IF(Desired!I40="",'Instructor Calculations'!R39,     IF(Desired!I40="????",       IF(Tracking!H38="????",     IF(Planning!G38="????",'Instructor Calculations'!F39, Planning!G38),   Tracking!H38),      Desired!I40))*(C39+D39)/100</f>
        <v>0</v>
      </c>
      <c r="W39" s="27">
        <f t="shared" si="8"/>
        <v>92.85090000000001</v>
      </c>
      <c r="X39" s="28" t="str">
        <f>IF($F39=0,"",IF(U39="????", T39,VLOOKUP(U39,'Instructor Course Information'!$M$2:$N$16,2)))</f>
        <v/>
      </c>
      <c r="Y39" s="35" t="str">
        <f>IF('Instructor Calculations'!$B39="","","????")</f>
        <v/>
      </c>
      <c r="Z39" t="str">
        <f t="shared" si="26"/>
        <v/>
      </c>
    </row>
    <row r="40" spans="1:26" ht="16.5" thickTop="1" thickBot="1" x14ac:dyDescent="0.3">
      <c r="A40" s="37"/>
      <c r="B40" s="38"/>
      <c r="C40" s="37"/>
      <c r="D40" s="37"/>
      <c r="E40" s="37"/>
      <c r="F40" s="37"/>
      <c r="G40" s="30">
        <f t="shared" si="3"/>
        <v>100</v>
      </c>
      <c r="H40" s="26">
        <f t="shared" si="23"/>
        <v>0</v>
      </c>
      <c r="I40" s="27">
        <f t="shared" si="24"/>
        <v>70.5</v>
      </c>
      <c r="J40" s="27">
        <f t="shared" si="25"/>
        <v>0</v>
      </c>
      <c r="K40" s="27">
        <f t="shared" si="5"/>
        <v>81.099999999999994</v>
      </c>
      <c r="L40" s="28" t="str">
        <f>IF($F40=0,"",VLOOKUP(F40,'Instructor Course Information'!$M$2:$N$16,2))</f>
        <v/>
      </c>
      <c r="M40" s="32" t="str">
        <f>Planning!G39</f>
        <v/>
      </c>
      <c r="N40" s="27">
        <f>(IF(Planning!G39="????",F40,IF(M40="",0,M40))*(C40+D40)/100)</f>
        <v>0</v>
      </c>
      <c r="O40" s="27">
        <f t="shared" si="6"/>
        <v>84.57</v>
      </c>
      <c r="P40" s="28" t="str">
        <f>IF($F40=0,"",IF(M40="????", L40,VLOOKUP(M40,'Instructor Course Information'!$M$2:$N$16,2)))</f>
        <v/>
      </c>
      <c r="Q40" s="29"/>
      <c r="R40" s="27">
        <f>IF(Tracking!H39="????",IF(Planning!G39="????",F40,IF(Planning!G39="",0,Planning!G39)),IF(Tracking!H39="",0,Tracking!H39))*(C40+D40)/100</f>
        <v>0</v>
      </c>
      <c r="S40" s="27">
        <f t="shared" si="7"/>
        <v>92.85090000000001</v>
      </c>
      <c r="T40" s="33" t="str">
        <f>IF($F40=0,"",IF(Q40="????", P40,VLOOKUP(Q40,'Instructor Course Information'!$M$2:$N$16,2)))</f>
        <v/>
      </c>
      <c r="U40" s="36" t="str">
        <f>Desired!I41</f>
        <v/>
      </c>
      <c r="V40" s="27">
        <f>IF(Desired!I41="",'Instructor Calculations'!R40,     IF(Desired!I41="????",       IF(Tracking!H39="????",     IF(Planning!G39="????",'Instructor Calculations'!F40, Planning!G39),   Tracking!H39),      Desired!I41))*(C40+D40)/100</f>
        <v>0</v>
      </c>
      <c r="W40" s="27">
        <f t="shared" si="8"/>
        <v>92.85090000000001</v>
      </c>
      <c r="X40" s="28" t="str">
        <f>IF($F40=0,"",IF(U40="????", T40,VLOOKUP(U40,'Instructor Course Information'!$M$2:$N$16,2)))</f>
        <v/>
      </c>
      <c r="Y40" s="35" t="str">
        <f>IF('Instructor Calculations'!$B40="","","????")</f>
        <v/>
      </c>
      <c r="Z40" t="str">
        <f t="shared" si="26"/>
        <v/>
      </c>
    </row>
    <row r="41" spans="1:26" ht="16.5" thickTop="1" thickBot="1" x14ac:dyDescent="0.3">
      <c r="A41" s="37"/>
      <c r="B41" s="38"/>
      <c r="C41" s="37"/>
      <c r="D41" s="37"/>
      <c r="E41" s="37"/>
      <c r="F41" s="37"/>
      <c r="G41" s="30">
        <f t="shared" si="3"/>
        <v>100</v>
      </c>
      <c r="H41" s="26">
        <f t="shared" si="23"/>
        <v>0</v>
      </c>
      <c r="I41" s="27">
        <f t="shared" si="24"/>
        <v>70.5</v>
      </c>
      <c r="J41" s="27">
        <f t="shared" si="25"/>
        <v>0</v>
      </c>
      <c r="K41" s="27">
        <f t="shared" si="5"/>
        <v>81.099999999999994</v>
      </c>
      <c r="L41" s="28" t="str">
        <f>IF($F41=0,"",VLOOKUP(F41,'Instructor Course Information'!$M$2:$N$16,2))</f>
        <v/>
      </c>
      <c r="M41" s="32" t="str">
        <f>Planning!G40</f>
        <v/>
      </c>
      <c r="N41" s="27">
        <f>(IF(Planning!G40="????",F41,IF(M41="",0,M41))*(C41+D41)/100)</f>
        <v>0</v>
      </c>
      <c r="O41" s="27">
        <f t="shared" si="6"/>
        <v>84.57</v>
      </c>
      <c r="P41" s="28" t="str">
        <f>IF($F41=0,"",IF(M41="????", L41,VLOOKUP(M41,'Instructor Course Information'!$M$2:$N$16,2)))</f>
        <v/>
      </c>
      <c r="Q41" s="29"/>
      <c r="R41" s="27">
        <f>IF(Tracking!H40="????",IF(Planning!G40="????",F41,IF(Planning!G40="",0,Planning!G40)),IF(Tracking!H40="",0,Tracking!H40))*(C41+D41)/100</f>
        <v>0</v>
      </c>
      <c r="S41" s="27">
        <f t="shared" si="7"/>
        <v>92.85090000000001</v>
      </c>
      <c r="T41" s="33" t="str">
        <f>IF($F41=0,"",IF(Q41="????", P41,VLOOKUP(Q41,'Instructor Course Information'!$M$2:$N$16,2)))</f>
        <v/>
      </c>
      <c r="U41" s="36" t="str">
        <f>Desired!I42</f>
        <v/>
      </c>
      <c r="V41" s="27">
        <f>IF(Desired!I42="",'Instructor Calculations'!R41,     IF(Desired!I42="????",       IF(Tracking!H40="????",     IF(Planning!G40="????",'Instructor Calculations'!F41, Planning!G40),   Tracking!H40),      Desired!I42))*(C41+D41)/100</f>
        <v>0</v>
      </c>
      <c r="W41" s="27">
        <f t="shared" si="8"/>
        <v>92.85090000000001</v>
      </c>
      <c r="X41" s="28" t="str">
        <f>IF($F41=0,"",IF(U41="????", T41,VLOOKUP(U41,'Instructor Course Information'!$M$2:$N$16,2)))</f>
        <v/>
      </c>
      <c r="Y41" s="35" t="str">
        <f>IF('Instructor Calculations'!$B41="","","????")</f>
        <v/>
      </c>
      <c r="Z41" t="str">
        <f t="shared" si="26"/>
        <v/>
      </c>
    </row>
    <row r="42" spans="1:26" ht="16.5" thickTop="1" thickBot="1" x14ac:dyDescent="0.3">
      <c r="A42" s="37"/>
      <c r="B42" s="38"/>
      <c r="C42" s="37"/>
      <c r="D42" s="37"/>
      <c r="E42" s="37"/>
      <c r="F42" s="37"/>
      <c r="G42" s="30">
        <f t="shared" si="3"/>
        <v>100</v>
      </c>
      <c r="H42" s="26">
        <f t="shared" si="23"/>
        <v>0</v>
      </c>
      <c r="I42" s="27">
        <f t="shared" si="24"/>
        <v>70.5</v>
      </c>
      <c r="J42" s="27">
        <f t="shared" si="25"/>
        <v>0</v>
      </c>
      <c r="K42" s="27">
        <f t="shared" si="5"/>
        <v>81.099999999999994</v>
      </c>
      <c r="L42" s="28" t="str">
        <f>IF($F42=0,"",VLOOKUP(F42,'Instructor Course Information'!$M$2:$N$16,2))</f>
        <v/>
      </c>
      <c r="M42" s="32" t="str">
        <f>Planning!G41</f>
        <v/>
      </c>
      <c r="N42" s="27">
        <f>(IF(Planning!G41="????",F42,IF(M42="",0,M42))*(C42+D42)/100)</f>
        <v>0</v>
      </c>
      <c r="O42" s="27">
        <f t="shared" si="6"/>
        <v>84.57</v>
      </c>
      <c r="P42" s="28" t="str">
        <f>IF($F42=0,"",IF(M42="????", L42,VLOOKUP(M42,'Instructor Course Information'!$M$2:$N$16,2)))</f>
        <v/>
      </c>
      <c r="Q42" s="29"/>
      <c r="R42" s="27">
        <f>IF(Tracking!H41="????",IF(Planning!G41="????",F42,IF(Planning!G41="",0,Planning!G41)),IF(Tracking!H41="",0,Tracking!H41))*(C42+D42)/100</f>
        <v>0</v>
      </c>
      <c r="S42" s="27">
        <f t="shared" si="7"/>
        <v>92.85090000000001</v>
      </c>
      <c r="T42" s="33" t="str">
        <f>IF($F42=0,"",IF(Q42="????", P42,VLOOKUP(Q42,'Instructor Course Information'!$M$2:$N$16,2)))</f>
        <v/>
      </c>
      <c r="U42" s="36" t="str">
        <f>Desired!I43</f>
        <v/>
      </c>
      <c r="V42" s="27">
        <f>IF(Desired!I43="",'Instructor Calculations'!R42,     IF(Desired!I43="????",       IF(Tracking!H41="????",     IF(Planning!G41="????",'Instructor Calculations'!F42, Planning!G41),   Tracking!H41),      Desired!I43))*(C42+D42)/100</f>
        <v>0</v>
      </c>
      <c r="W42" s="27">
        <f t="shared" si="8"/>
        <v>92.85090000000001</v>
      </c>
      <c r="X42" s="28" t="str">
        <f>IF($F42=0,"",IF(U42="????", T42,VLOOKUP(U42,'Instructor Course Information'!$M$2:$N$16,2)))</f>
        <v/>
      </c>
      <c r="Y42" s="35" t="str">
        <f>IF('Instructor Calculations'!$B42="","","????")</f>
        <v/>
      </c>
      <c r="Z42" t="str">
        <f t="shared" si="26"/>
        <v/>
      </c>
    </row>
    <row r="43" spans="1:26" ht="16.5" thickTop="1" thickBot="1" x14ac:dyDescent="0.3">
      <c r="A43" s="37"/>
      <c r="B43" s="38"/>
      <c r="C43" s="37"/>
      <c r="D43" s="37"/>
      <c r="E43" s="37"/>
      <c r="F43" s="37"/>
      <c r="G43" s="30">
        <f t="shared" si="3"/>
        <v>100</v>
      </c>
      <c r="H43" s="26">
        <f t="shared" si="23"/>
        <v>0</v>
      </c>
      <c r="I43" s="27">
        <f t="shared" si="24"/>
        <v>70.5</v>
      </c>
      <c r="J43" s="27">
        <f t="shared" si="25"/>
        <v>0</v>
      </c>
      <c r="K43" s="27">
        <f t="shared" si="5"/>
        <v>81.099999999999994</v>
      </c>
      <c r="L43" s="28" t="str">
        <f>IF($F43=0,"",VLOOKUP(F43,'Instructor Course Information'!$M$2:$N$16,2))</f>
        <v/>
      </c>
      <c r="M43" s="32" t="str">
        <f>Planning!G42</f>
        <v/>
      </c>
      <c r="N43" s="27">
        <f>(IF(Planning!G42="????",F43,IF(M43="",0,M43))*(C43+D43)/100)</f>
        <v>0</v>
      </c>
      <c r="O43" s="27">
        <f t="shared" si="6"/>
        <v>84.57</v>
      </c>
      <c r="P43" s="28" t="str">
        <f>IF($F43=0,"",IF(M43="????", L43,VLOOKUP(M43,'Instructor Course Information'!$M$2:$N$16,2)))</f>
        <v/>
      </c>
      <c r="Q43" s="29"/>
      <c r="R43" s="27">
        <f>IF(Tracking!H42="????",IF(Planning!G42="????",F43,IF(Planning!G42="",0,Planning!G42)),IF(Tracking!H42="",0,Tracking!H42))*(C43+D43)/100</f>
        <v>0</v>
      </c>
      <c r="S43" s="27">
        <f t="shared" si="7"/>
        <v>92.85090000000001</v>
      </c>
      <c r="T43" s="33" t="str">
        <f>IF($F43=0,"",IF(Q43="????", P43,VLOOKUP(Q43,'Instructor Course Information'!$M$2:$N$16,2)))</f>
        <v/>
      </c>
      <c r="U43" s="36" t="str">
        <f>Desired!I44</f>
        <v/>
      </c>
      <c r="V43" s="27">
        <f>IF(Desired!I44="",'Instructor Calculations'!R43,     IF(Desired!I44="????",       IF(Tracking!H42="????",     IF(Planning!G42="????",'Instructor Calculations'!F43, Planning!G42),   Tracking!H42),      Desired!I44))*(C43+D43)/100</f>
        <v>0</v>
      </c>
      <c r="W43" s="27">
        <f t="shared" si="8"/>
        <v>92.85090000000001</v>
      </c>
      <c r="X43" s="28" t="str">
        <f>IF($F43=0,"",IF(U43="????", T43,VLOOKUP(U43,'Instructor Course Information'!$M$2:$N$16,2)))</f>
        <v/>
      </c>
      <c r="Y43" s="35" t="str">
        <f>IF('Instructor Calculations'!$B43="","","????")</f>
        <v/>
      </c>
      <c r="Z43" t="str">
        <f t="shared" si="26"/>
        <v/>
      </c>
    </row>
    <row r="44" spans="1:26" ht="16.5" thickTop="1" thickBot="1" x14ac:dyDescent="0.3">
      <c r="A44" s="37"/>
      <c r="B44" s="38"/>
      <c r="C44" s="37"/>
      <c r="D44" s="37"/>
      <c r="E44" s="37"/>
      <c r="F44" s="37"/>
      <c r="G44" s="30">
        <f t="shared" si="3"/>
        <v>100</v>
      </c>
      <c r="H44" s="26">
        <f t="shared" si="23"/>
        <v>0</v>
      </c>
      <c r="I44" s="27">
        <f t="shared" si="24"/>
        <v>70.5</v>
      </c>
      <c r="J44" s="27">
        <f t="shared" si="25"/>
        <v>0</v>
      </c>
      <c r="K44" s="27">
        <f t="shared" si="5"/>
        <v>81.099999999999994</v>
      </c>
      <c r="L44" s="28" t="str">
        <f>IF($F44=0,"",VLOOKUP(F44,'Instructor Course Information'!$M$2:$N$16,2))</f>
        <v/>
      </c>
      <c r="M44" s="32" t="str">
        <f>Planning!G43</f>
        <v/>
      </c>
      <c r="N44" s="27">
        <f>(IF(Planning!G43="????",F44,IF(M44="",0,M44))*(C44+D44)/100)</f>
        <v>0</v>
      </c>
      <c r="O44" s="27">
        <f t="shared" si="6"/>
        <v>84.57</v>
      </c>
      <c r="P44" s="28" t="str">
        <f>IF($F44=0,"",IF(M44="????", L44,VLOOKUP(M44,'Instructor Course Information'!$M$2:$N$16,2)))</f>
        <v/>
      </c>
      <c r="Q44" s="29"/>
      <c r="R44" s="27">
        <f>IF(Tracking!H43="????",IF(Planning!G43="????",F44,IF(Planning!G43="",0,Planning!G43)),IF(Tracking!H43="",0,Tracking!H43))*(C44+D44)/100</f>
        <v>0</v>
      </c>
      <c r="S44" s="27">
        <f t="shared" si="7"/>
        <v>92.85090000000001</v>
      </c>
      <c r="T44" s="33" t="str">
        <f>IF($F44=0,"",IF(Q44="????", P44,VLOOKUP(Q44,'Instructor Course Information'!$M$2:$N$16,2)))</f>
        <v/>
      </c>
      <c r="U44" s="36" t="str">
        <f>Desired!I45</f>
        <v/>
      </c>
      <c r="V44" s="27">
        <f>IF(Desired!I45="",'Instructor Calculations'!R44,     IF(Desired!I45="????",       IF(Tracking!H43="????",     IF(Planning!G43="????",'Instructor Calculations'!F44, Planning!G43),   Tracking!H43),      Desired!I45))*(C44+D44)/100</f>
        <v>0</v>
      </c>
      <c r="W44" s="27">
        <f t="shared" si="8"/>
        <v>92.85090000000001</v>
      </c>
      <c r="X44" s="28" t="str">
        <f>IF($F44=0,"",IF(U44="????", T44,VLOOKUP(U44,'Instructor Course Information'!$M$2:$N$16,2)))</f>
        <v/>
      </c>
      <c r="Y44" s="35" t="str">
        <f>IF('Instructor Calculations'!$B44="","","????")</f>
        <v/>
      </c>
      <c r="Z44" t="str">
        <f t="shared" si="26"/>
        <v/>
      </c>
    </row>
    <row r="45" spans="1:26" ht="16.5" thickTop="1" thickBot="1" x14ac:dyDescent="0.3">
      <c r="A45" s="37"/>
      <c r="B45" s="38"/>
      <c r="C45" s="37"/>
      <c r="D45" s="37"/>
      <c r="E45" s="37"/>
      <c r="F45" s="37"/>
      <c r="G45" s="30">
        <f t="shared" si="3"/>
        <v>100</v>
      </c>
      <c r="H45" s="26">
        <f t="shared" si="23"/>
        <v>0</v>
      </c>
      <c r="I45" s="27">
        <f t="shared" si="24"/>
        <v>70.5</v>
      </c>
      <c r="J45" s="27">
        <f t="shared" si="25"/>
        <v>0</v>
      </c>
      <c r="K45" s="27">
        <f t="shared" si="5"/>
        <v>81.099999999999994</v>
      </c>
      <c r="L45" s="28" t="str">
        <f>IF($F45=0,"",VLOOKUP(F45,'Instructor Course Information'!$M$2:$N$16,2))</f>
        <v/>
      </c>
      <c r="M45" s="32" t="str">
        <f>Planning!G44</f>
        <v/>
      </c>
      <c r="N45" s="27">
        <f>(IF(Planning!G44="????",F45,IF(M45="",0,M45))*(C45+D45)/100)</f>
        <v>0</v>
      </c>
      <c r="O45" s="27">
        <f t="shared" si="6"/>
        <v>84.57</v>
      </c>
      <c r="P45" s="28" t="str">
        <f>IF($F45=0,"",IF(M45="????", L45,VLOOKUP(M45,'Instructor Course Information'!$M$2:$N$16,2)))</f>
        <v/>
      </c>
      <c r="Q45" s="29"/>
      <c r="R45" s="27">
        <f>IF(Tracking!H44="????",IF(Planning!G44="????",F45,IF(Planning!G44="",0,Planning!G44)),IF(Tracking!H44="",0,Tracking!H44))*(C45+D45)/100</f>
        <v>0</v>
      </c>
      <c r="S45" s="27">
        <f t="shared" si="7"/>
        <v>92.85090000000001</v>
      </c>
      <c r="T45" s="33" t="str">
        <f>IF($F45=0,"",IF(Q45="????", P45,VLOOKUP(Q45,'Instructor Course Information'!$M$2:$N$16,2)))</f>
        <v/>
      </c>
      <c r="U45" s="36" t="str">
        <f>Desired!I46</f>
        <v/>
      </c>
      <c r="V45" s="27">
        <f>IF(Desired!I46="",'Instructor Calculations'!R45,     IF(Desired!I46="????",       IF(Tracking!H44="????",     IF(Planning!G44="????",'Instructor Calculations'!F45, Planning!G44),   Tracking!H44),      Desired!I46))*(C45+D45)/100</f>
        <v>0</v>
      </c>
      <c r="W45" s="27">
        <f t="shared" si="8"/>
        <v>92.85090000000001</v>
      </c>
      <c r="X45" s="28" t="str">
        <f>IF($F45=0,"",IF(U45="????", T45,VLOOKUP(U45,'Instructor Course Information'!$M$2:$N$16,2)))</f>
        <v/>
      </c>
      <c r="Y45" s="35" t="str">
        <f>IF('Instructor Calculations'!$B45="","","????")</f>
        <v/>
      </c>
      <c r="Z45" t="str">
        <f t="shared" si="26"/>
        <v/>
      </c>
    </row>
    <row r="46" spans="1:26" ht="16.5" thickTop="1" thickBot="1" x14ac:dyDescent="0.3">
      <c r="A46" s="37"/>
      <c r="B46" s="38"/>
      <c r="C46" s="37"/>
      <c r="D46" s="37"/>
      <c r="E46" s="37"/>
      <c r="F46" s="37"/>
      <c r="G46" s="30">
        <f t="shared" si="3"/>
        <v>100</v>
      </c>
      <c r="H46" s="26">
        <f t="shared" si="23"/>
        <v>0</v>
      </c>
      <c r="I46" s="27">
        <f t="shared" si="24"/>
        <v>70.5</v>
      </c>
      <c r="J46" s="27">
        <f t="shared" si="25"/>
        <v>0</v>
      </c>
      <c r="K46" s="27">
        <f t="shared" si="5"/>
        <v>81.099999999999994</v>
      </c>
      <c r="L46" s="28" t="str">
        <f>IF($F46=0,"",VLOOKUP(F46,'Instructor Course Information'!$M$2:$N$16,2))</f>
        <v/>
      </c>
      <c r="M46" s="32" t="str">
        <f>Planning!G45</f>
        <v/>
      </c>
      <c r="N46" s="27">
        <f>(IF(Planning!G45="????",F46,IF(M46="",0,M46))*(C46+D46)/100)</f>
        <v>0</v>
      </c>
      <c r="O46" s="27">
        <f t="shared" si="6"/>
        <v>84.57</v>
      </c>
      <c r="P46" s="28" t="str">
        <f>IF($F46=0,"",IF(M46="????", L46,VLOOKUP(M46,'Instructor Course Information'!$M$2:$N$16,2)))</f>
        <v/>
      </c>
      <c r="Q46" s="29"/>
      <c r="R46" s="27">
        <f>IF(Tracking!H45="????",IF(Planning!G45="????",F46,IF(Planning!G45="",0,Planning!G45)),IF(Tracking!H45="",0,Tracking!H45))*(C46+D46)/100</f>
        <v>0</v>
      </c>
      <c r="S46" s="27">
        <f t="shared" si="7"/>
        <v>92.85090000000001</v>
      </c>
      <c r="T46" s="33" t="str">
        <f>IF($F46=0,"",IF(Q46="????", P46,VLOOKUP(Q46,'Instructor Course Information'!$M$2:$N$16,2)))</f>
        <v/>
      </c>
      <c r="U46" s="36" t="str">
        <f>Desired!I47</f>
        <v/>
      </c>
      <c r="V46" s="27">
        <f>IF(Desired!I47="",'Instructor Calculations'!R46,     IF(Desired!I47="????",       IF(Tracking!H45="????",     IF(Planning!G45="????",'Instructor Calculations'!F46, Planning!G45),   Tracking!H45),      Desired!I47))*(C46+D46)/100</f>
        <v>0</v>
      </c>
      <c r="W46" s="27">
        <f t="shared" si="8"/>
        <v>92.85090000000001</v>
      </c>
      <c r="X46" s="28" t="str">
        <f>IF($F46=0,"",IF(U46="????", T46,VLOOKUP(U46,'Instructor Course Information'!$M$2:$N$16,2)))</f>
        <v/>
      </c>
      <c r="Y46" s="35" t="str">
        <f>IF('Instructor Calculations'!$B46="","","????")</f>
        <v/>
      </c>
      <c r="Z46" t="str">
        <f t="shared" si="26"/>
        <v/>
      </c>
    </row>
    <row r="47" spans="1:26" ht="16.5" thickTop="1" thickBot="1" x14ac:dyDescent="0.3">
      <c r="A47" s="37"/>
      <c r="B47" s="38"/>
      <c r="C47" s="37"/>
      <c r="D47" s="37"/>
      <c r="E47" s="37"/>
      <c r="F47" s="37"/>
      <c r="G47" s="30">
        <f t="shared" si="3"/>
        <v>100</v>
      </c>
      <c r="H47" s="26">
        <f t="shared" si="23"/>
        <v>0</v>
      </c>
      <c r="I47" s="27">
        <f t="shared" si="24"/>
        <v>70.5</v>
      </c>
      <c r="J47" s="27">
        <f t="shared" si="25"/>
        <v>0</v>
      </c>
      <c r="K47" s="27">
        <f t="shared" si="5"/>
        <v>81.099999999999994</v>
      </c>
      <c r="L47" s="28" t="str">
        <f>IF($F47=0,"",VLOOKUP(F47,'Instructor Course Information'!$M$2:$N$16,2))</f>
        <v/>
      </c>
      <c r="M47" s="32" t="str">
        <f>Planning!G46</f>
        <v/>
      </c>
      <c r="N47" s="27">
        <f>(IF(Planning!G46="????",F47,IF(M47="",0,M47))*(C47+D47)/100)</f>
        <v>0</v>
      </c>
      <c r="O47" s="27">
        <f t="shared" si="6"/>
        <v>84.57</v>
      </c>
      <c r="P47" s="28" t="str">
        <f>IF($F47=0,"",IF(M47="????", L47,VLOOKUP(M47,'Instructor Course Information'!$M$2:$N$16,2)))</f>
        <v/>
      </c>
      <c r="Q47" s="29"/>
      <c r="R47" s="27">
        <f>IF(Tracking!H46="????",IF(Planning!G46="????",F47,IF(Planning!G46="",0,Planning!G46)),IF(Tracking!H46="",0,Tracking!H46))*(C47+D47)/100</f>
        <v>0</v>
      </c>
      <c r="S47" s="27">
        <f t="shared" si="7"/>
        <v>92.85090000000001</v>
      </c>
      <c r="T47" s="33" t="str">
        <f>IF($F47=0,"",IF(Q47="????", P47,VLOOKUP(Q47,'Instructor Course Information'!$M$2:$N$16,2)))</f>
        <v/>
      </c>
      <c r="U47" s="36" t="str">
        <f>Desired!I48</f>
        <v/>
      </c>
      <c r="V47" s="27">
        <f>IF(Desired!I48="",'Instructor Calculations'!R47,     IF(Desired!I48="????",       IF(Tracking!H46="????",     IF(Planning!G46="????",'Instructor Calculations'!F47, Planning!G46),   Tracking!H46),      Desired!I48))*(C47+D47)/100</f>
        <v>0</v>
      </c>
      <c r="W47" s="27">
        <f t="shared" si="8"/>
        <v>92.85090000000001</v>
      </c>
      <c r="X47" s="28" t="str">
        <f>IF($F47=0,"",IF(U47="????", T47,VLOOKUP(U47,'Instructor Course Information'!$M$2:$N$16,2)))</f>
        <v/>
      </c>
      <c r="Y47" s="35" t="str">
        <f>IF('Instructor Calculations'!$B47="","","????")</f>
        <v/>
      </c>
      <c r="Z47" t="str">
        <f t="shared" si="26"/>
        <v/>
      </c>
    </row>
    <row r="48" spans="1:26" ht="16.5" thickTop="1" thickBot="1" x14ac:dyDescent="0.3">
      <c r="A48" s="37"/>
      <c r="B48" s="38"/>
      <c r="C48" s="37"/>
      <c r="D48" s="37"/>
      <c r="E48" s="37"/>
      <c r="F48" s="37"/>
      <c r="G48" s="30">
        <f t="shared" si="3"/>
        <v>100</v>
      </c>
      <c r="H48" s="26">
        <f t="shared" si="23"/>
        <v>0</v>
      </c>
      <c r="I48" s="27">
        <f t="shared" si="24"/>
        <v>70.5</v>
      </c>
      <c r="J48" s="27">
        <f t="shared" si="25"/>
        <v>0</v>
      </c>
      <c r="K48" s="27">
        <f t="shared" si="5"/>
        <v>81.099999999999994</v>
      </c>
      <c r="L48" s="28" t="str">
        <f>IF($F48=0,"",VLOOKUP(F48,'Instructor Course Information'!$M$2:$N$16,2))</f>
        <v/>
      </c>
      <c r="M48" s="32" t="str">
        <f>Planning!G47</f>
        <v/>
      </c>
      <c r="N48" s="27">
        <f>(IF(Planning!G47="????",F48,IF(M48="",0,M48))*(C48+D48)/100)</f>
        <v>0</v>
      </c>
      <c r="O48" s="27">
        <f t="shared" si="6"/>
        <v>84.57</v>
      </c>
      <c r="P48" s="28" t="str">
        <f>IF($F48=0,"",IF(M48="????", L48,VLOOKUP(M48,'Instructor Course Information'!$M$2:$N$16,2)))</f>
        <v/>
      </c>
      <c r="Q48" s="29"/>
      <c r="R48" s="27">
        <f>IF(Tracking!H47="????",IF(Planning!G47="????",F48,IF(Planning!G47="",0,Planning!G47)),IF(Tracking!H47="",0,Tracking!H47))*(C48+D48)/100</f>
        <v>0</v>
      </c>
      <c r="S48" s="27">
        <f t="shared" si="7"/>
        <v>92.85090000000001</v>
      </c>
      <c r="T48" s="33" t="str">
        <f>IF($F48=0,"",IF(Q48="????", P48,VLOOKUP(Q48,'Instructor Course Information'!$M$2:$N$16,2)))</f>
        <v/>
      </c>
      <c r="U48" s="36" t="str">
        <f>Desired!I49</f>
        <v/>
      </c>
      <c r="V48" s="27">
        <f>IF(Desired!I49="",'Instructor Calculations'!R48,     IF(Desired!I49="????",       IF(Tracking!H47="????",     IF(Planning!G47="????",'Instructor Calculations'!F48, Planning!G47),   Tracking!H47),      Desired!I49))*(C48+D48)/100</f>
        <v>0</v>
      </c>
      <c r="W48" s="27">
        <f t="shared" si="8"/>
        <v>92.85090000000001</v>
      </c>
      <c r="X48" s="28" t="str">
        <f>IF($F48=0,"",IF(U48="????", T48,VLOOKUP(U48,'Instructor Course Information'!$M$2:$N$16,2)))</f>
        <v/>
      </c>
      <c r="Y48" s="35" t="str">
        <f>IF('Instructor Calculations'!$B48="","","????")</f>
        <v/>
      </c>
      <c r="Z48" t="str">
        <f t="shared" si="26"/>
        <v/>
      </c>
    </row>
    <row r="49" spans="1:26" ht="16.5" thickTop="1" thickBot="1" x14ac:dyDescent="0.3">
      <c r="A49" s="37"/>
      <c r="B49" s="38"/>
      <c r="C49" s="37"/>
      <c r="D49" s="37"/>
      <c r="E49" s="37"/>
      <c r="F49" s="37"/>
      <c r="G49" s="30">
        <f t="shared" si="3"/>
        <v>100</v>
      </c>
      <c r="H49" s="26">
        <f t="shared" si="23"/>
        <v>0</v>
      </c>
      <c r="I49" s="27">
        <f t="shared" si="24"/>
        <v>70.5</v>
      </c>
      <c r="J49" s="27">
        <f t="shared" si="25"/>
        <v>0</v>
      </c>
      <c r="K49" s="27">
        <f t="shared" si="5"/>
        <v>81.099999999999994</v>
      </c>
      <c r="L49" s="28" t="str">
        <f>IF($F49=0,"",VLOOKUP(F49,'Instructor Course Information'!$M$2:$N$16,2))</f>
        <v/>
      </c>
      <c r="M49" s="32" t="str">
        <f>Planning!G48</f>
        <v/>
      </c>
      <c r="N49" s="27">
        <f>(IF(Planning!G48="????",F49,IF(M49="",0,M49))*(C49+D49)/100)</f>
        <v>0</v>
      </c>
      <c r="O49" s="27">
        <f t="shared" si="6"/>
        <v>84.57</v>
      </c>
      <c r="P49" s="28" t="str">
        <f>IF($F49=0,"",IF(M49="????", L49,VLOOKUP(M49,'Instructor Course Information'!$M$2:$N$16,2)))</f>
        <v/>
      </c>
      <c r="Q49" s="29"/>
      <c r="R49" s="27">
        <f>IF(Tracking!H48="????",IF(Planning!G48="????",F49,IF(Planning!G48="",0,Planning!G48)),IF(Tracking!H48="",0,Tracking!H48))*(C49+D49)/100</f>
        <v>0</v>
      </c>
      <c r="S49" s="27">
        <f t="shared" si="7"/>
        <v>92.85090000000001</v>
      </c>
      <c r="T49" s="33" t="str">
        <f>IF($F49=0,"",IF(Q49="????", P49,VLOOKUP(Q49,'Instructor Course Information'!$M$2:$N$16,2)))</f>
        <v/>
      </c>
      <c r="U49" s="36" t="str">
        <f>Desired!I50</f>
        <v/>
      </c>
      <c r="V49" s="27">
        <f>IF(Desired!I50="",'Instructor Calculations'!R49,     IF(Desired!I50="????",       IF(Tracking!H48="????",     IF(Planning!G48="????",'Instructor Calculations'!F49, Planning!G48),   Tracking!H48),      Desired!I50))*(C49+D49)/100</f>
        <v>0</v>
      </c>
      <c r="W49" s="27">
        <f t="shared" si="8"/>
        <v>92.85090000000001</v>
      </c>
      <c r="X49" s="28" t="str">
        <f>IF($F49=0,"",IF(U49="????", T49,VLOOKUP(U49,'Instructor Course Information'!$M$2:$N$16,2)))</f>
        <v/>
      </c>
      <c r="Y49" s="35" t="str">
        <f>IF('Instructor Calculations'!$B49="","","????")</f>
        <v/>
      </c>
      <c r="Z49" t="str">
        <f t="shared" si="26"/>
        <v/>
      </c>
    </row>
    <row r="50" spans="1:26" ht="16.5" thickTop="1" thickBot="1" x14ac:dyDescent="0.3">
      <c r="A50" s="37"/>
      <c r="B50" s="38"/>
      <c r="C50" s="37"/>
      <c r="D50" s="37"/>
      <c r="E50" s="37"/>
      <c r="F50" s="37"/>
      <c r="G50" s="30">
        <f t="shared" si="3"/>
        <v>100</v>
      </c>
      <c r="H50" s="26">
        <f t="shared" si="23"/>
        <v>0</v>
      </c>
      <c r="I50" s="27">
        <f t="shared" si="24"/>
        <v>70.5</v>
      </c>
      <c r="J50" s="27">
        <f t="shared" si="25"/>
        <v>0</v>
      </c>
      <c r="K50" s="27">
        <f t="shared" si="5"/>
        <v>81.099999999999994</v>
      </c>
      <c r="L50" s="28" t="str">
        <f>IF($F50=0,"",VLOOKUP(F50,'Instructor Course Information'!$M$2:$N$16,2))</f>
        <v/>
      </c>
      <c r="M50" s="32" t="str">
        <f>Planning!G49</f>
        <v/>
      </c>
      <c r="N50" s="27">
        <f>(IF(Planning!G49="????",F50,IF(M50="",0,M50))*(C50+D50)/100)</f>
        <v>0</v>
      </c>
      <c r="O50" s="27">
        <f t="shared" si="6"/>
        <v>84.57</v>
      </c>
      <c r="P50" s="28" t="str">
        <f>IF($F50=0,"",IF(M50="????", L50,VLOOKUP(M50,'Instructor Course Information'!$M$2:$N$16,2)))</f>
        <v/>
      </c>
      <c r="Q50" s="29"/>
      <c r="R50" s="27">
        <f>IF(Tracking!H49="????",IF(Planning!G49="????",F50,IF(Planning!G49="",0,Planning!G49)),IF(Tracking!H49="",0,Tracking!H49))*(C50+D50)/100</f>
        <v>0</v>
      </c>
      <c r="S50" s="27">
        <f t="shared" si="7"/>
        <v>92.85090000000001</v>
      </c>
      <c r="T50" s="33" t="str">
        <f>IF($F50=0,"",IF(Q50="????", P50,VLOOKUP(Q50,'Instructor Course Information'!$M$2:$N$16,2)))</f>
        <v/>
      </c>
      <c r="U50" s="36" t="str">
        <f>Desired!I51</f>
        <v/>
      </c>
      <c r="V50" s="27">
        <f>IF(Desired!I51="",'Instructor Calculations'!R50,     IF(Desired!I51="????",       IF(Tracking!H49="????",     IF(Planning!G49="????",'Instructor Calculations'!F50, Planning!G49),   Tracking!H49),      Desired!I51))*(C50+D50)/100</f>
        <v>0</v>
      </c>
      <c r="W50" s="27">
        <f t="shared" si="8"/>
        <v>92.85090000000001</v>
      </c>
      <c r="X50" s="28" t="str">
        <f>IF($F50=0,"",IF(U50="????", T50,VLOOKUP(U50,'Instructor Course Information'!$M$2:$N$16,2)))</f>
        <v/>
      </c>
      <c r="Y50" s="35" t="str">
        <f>IF('Instructor Calculations'!$B50="","","????")</f>
        <v/>
      </c>
      <c r="Z50" t="str">
        <f t="shared" si="26"/>
        <v/>
      </c>
    </row>
    <row r="51" spans="1:26" ht="16.5" thickTop="1" thickBot="1" x14ac:dyDescent="0.3">
      <c r="A51" s="37"/>
      <c r="B51" s="38"/>
      <c r="C51" s="37"/>
      <c r="D51" s="37"/>
      <c r="E51" s="37"/>
      <c r="F51" s="37"/>
      <c r="G51" s="30">
        <f t="shared" si="3"/>
        <v>100</v>
      </c>
      <c r="H51" s="26">
        <f t="shared" si="23"/>
        <v>0</v>
      </c>
      <c r="I51" s="27">
        <f t="shared" si="24"/>
        <v>70.5</v>
      </c>
      <c r="J51" s="27">
        <f t="shared" si="25"/>
        <v>0</v>
      </c>
      <c r="K51" s="27">
        <f t="shared" si="5"/>
        <v>81.099999999999994</v>
      </c>
      <c r="L51" s="28" t="str">
        <f>IF($F51=0,"",VLOOKUP(F51,'Instructor Course Information'!$M$2:$N$16,2))</f>
        <v/>
      </c>
      <c r="M51" s="32" t="str">
        <f>Planning!G50</f>
        <v/>
      </c>
      <c r="N51" s="27">
        <f>(IF(Planning!G50="????",F51,IF(M51="",0,M51))*(C51+D51)/100)</f>
        <v>0</v>
      </c>
      <c r="O51" s="27">
        <f t="shared" si="6"/>
        <v>84.57</v>
      </c>
      <c r="P51" s="28" t="str">
        <f>IF($F51=0,"",IF(M51="????", L51,VLOOKUP(M51,'Instructor Course Information'!$M$2:$N$16,2)))</f>
        <v/>
      </c>
      <c r="Q51" s="29"/>
      <c r="R51" s="27">
        <f>IF(Tracking!H50="????",IF(Planning!G50="????",F51,IF(Planning!G50="",0,Planning!G50)),IF(Tracking!H50="",0,Tracking!H50))*(C51+D51)/100</f>
        <v>0</v>
      </c>
      <c r="S51" s="27">
        <f t="shared" si="7"/>
        <v>92.85090000000001</v>
      </c>
      <c r="T51" s="33" t="str">
        <f>IF($F51=0,"",IF(Q51="????", P51,VLOOKUP(Q51,'Instructor Course Information'!$M$2:$N$16,2)))</f>
        <v/>
      </c>
      <c r="U51" s="36" t="str">
        <f>Desired!I52</f>
        <v/>
      </c>
      <c r="V51" s="27">
        <f>IF(Desired!I52="",'Instructor Calculations'!R51,     IF(Desired!I52="????",       IF(Tracking!H50="????",     IF(Planning!G50="????",'Instructor Calculations'!F51, Planning!G50),   Tracking!H50),      Desired!I52))*(C51+D51)/100</f>
        <v>0</v>
      </c>
      <c r="W51" s="27">
        <f t="shared" si="8"/>
        <v>92.85090000000001</v>
      </c>
      <c r="X51" s="28" t="str">
        <f>IF($F51=0,"",IF(U51="????", T51,VLOOKUP(U51,'Instructor Course Information'!$M$2:$N$16,2)))</f>
        <v/>
      </c>
      <c r="Y51" s="35" t="str">
        <f>IF('Instructor Calculations'!$B51="","","????")</f>
        <v/>
      </c>
      <c r="Z51" t="str">
        <f t="shared" si="26"/>
        <v/>
      </c>
    </row>
    <row r="52" spans="1:26" ht="16.5" thickTop="1" thickBot="1" x14ac:dyDescent="0.3">
      <c r="A52" s="37"/>
      <c r="B52" s="38"/>
      <c r="C52" s="37"/>
      <c r="D52" s="37"/>
      <c r="E52" s="37"/>
      <c r="F52" s="37"/>
      <c r="G52" s="30">
        <f t="shared" si="3"/>
        <v>100</v>
      </c>
      <c r="H52" s="26">
        <f t="shared" si="23"/>
        <v>0</v>
      </c>
      <c r="I52" s="27">
        <f t="shared" si="24"/>
        <v>70.5</v>
      </c>
      <c r="J52" s="27">
        <f t="shared" si="25"/>
        <v>0</v>
      </c>
      <c r="K52" s="27">
        <f t="shared" si="5"/>
        <v>81.099999999999994</v>
      </c>
      <c r="L52" s="28" t="str">
        <f>IF($F52=0,"",VLOOKUP(F52,'Instructor Course Information'!$M$2:$N$16,2))</f>
        <v/>
      </c>
      <c r="M52" s="32" t="str">
        <f>Planning!G51</f>
        <v/>
      </c>
      <c r="N52" s="27">
        <f>(IF(Planning!G51="????",F52,IF(M52="",0,M52))*(C52+D52)/100)</f>
        <v>0</v>
      </c>
      <c r="O52" s="27">
        <f t="shared" si="6"/>
        <v>84.57</v>
      </c>
      <c r="P52" s="28" t="str">
        <f>IF($F52=0,"",IF(M52="????", L52,VLOOKUP(M52,'Instructor Course Information'!$M$2:$N$16,2)))</f>
        <v/>
      </c>
      <c r="Q52" s="29"/>
      <c r="R52" s="27">
        <f>IF(Tracking!H51="????",IF(Planning!G51="????",F52,IF(Planning!G51="",0,Planning!G51)),IF(Tracking!H51="",0,Tracking!H51))*(C52+D52)/100</f>
        <v>0</v>
      </c>
      <c r="S52" s="27">
        <f t="shared" si="7"/>
        <v>92.85090000000001</v>
      </c>
      <c r="T52" s="33" t="str">
        <f>IF($F52=0,"",IF(Q52="????", P52,VLOOKUP(Q52,'Instructor Course Information'!$M$2:$N$16,2)))</f>
        <v/>
      </c>
      <c r="U52" s="36" t="str">
        <f>Desired!I53</f>
        <v/>
      </c>
      <c r="V52" s="27">
        <f>IF(Desired!I53="",'Instructor Calculations'!R52,     IF(Desired!I53="????",       IF(Tracking!H51="????",     IF(Planning!G51="????",'Instructor Calculations'!F52, Planning!G51),   Tracking!H51),      Desired!I53))*(C52+D52)/100</f>
        <v>0</v>
      </c>
      <c r="W52" s="27">
        <f t="shared" si="8"/>
        <v>92.85090000000001</v>
      </c>
      <c r="X52" s="28" t="str">
        <f>IF($F52=0,"",IF(U52="????", T52,VLOOKUP(U52,'Instructor Course Information'!$M$2:$N$16,2)))</f>
        <v/>
      </c>
      <c r="Y52" s="35" t="str">
        <f>IF('Instructor Calculations'!$B52="","","????")</f>
        <v/>
      </c>
      <c r="Z52" t="str">
        <f t="shared" si="26"/>
        <v/>
      </c>
    </row>
    <row r="53" spans="1:26" ht="16.5" thickTop="1" thickBot="1" x14ac:dyDescent="0.3">
      <c r="A53" s="37"/>
      <c r="B53" s="38"/>
      <c r="C53" s="37"/>
      <c r="D53" s="37"/>
      <c r="E53" s="37"/>
      <c r="F53" s="37"/>
      <c r="G53" s="30">
        <f t="shared" si="3"/>
        <v>100</v>
      </c>
      <c r="H53" s="26">
        <f t="shared" si="23"/>
        <v>0</v>
      </c>
      <c r="I53" s="27">
        <f t="shared" si="24"/>
        <v>70.5</v>
      </c>
      <c r="J53" s="27">
        <f t="shared" si="25"/>
        <v>0</v>
      </c>
      <c r="K53" s="27">
        <f t="shared" si="5"/>
        <v>81.099999999999994</v>
      </c>
      <c r="L53" s="28" t="str">
        <f>IF($F53=0,"",VLOOKUP(F53,'Instructor Course Information'!$M$2:$N$16,2))</f>
        <v/>
      </c>
      <c r="M53" s="32" t="str">
        <f>Planning!G52</f>
        <v/>
      </c>
      <c r="N53" s="27">
        <f>(IF(Planning!G52="????",F53,IF(M53="",0,M53))*(C53+D53)/100)</f>
        <v>0</v>
      </c>
      <c r="O53" s="27">
        <f t="shared" si="6"/>
        <v>84.57</v>
      </c>
      <c r="P53" s="28" t="str">
        <f>IF($F53=0,"",IF(M53="????", L53,VLOOKUP(M53,'Instructor Course Information'!$M$2:$N$16,2)))</f>
        <v/>
      </c>
      <c r="Q53" s="29"/>
      <c r="R53" s="27">
        <f>IF(Tracking!H52="????",IF(Planning!G52="????",F53,IF(Planning!G52="",0,Planning!G52)),IF(Tracking!H52="",0,Tracking!H52))*(C53+D53)/100</f>
        <v>0</v>
      </c>
      <c r="S53" s="27">
        <f t="shared" si="7"/>
        <v>92.85090000000001</v>
      </c>
      <c r="T53" s="33" t="str">
        <f>IF($F53=0,"",IF(Q53="????", P53,VLOOKUP(Q53,'Instructor Course Information'!$M$2:$N$16,2)))</f>
        <v/>
      </c>
      <c r="U53" s="36" t="str">
        <f>Desired!I54</f>
        <v/>
      </c>
      <c r="V53" s="27">
        <f>IF(Desired!I54="",'Instructor Calculations'!R53,     IF(Desired!I54="????",       IF(Tracking!H52="????",     IF(Planning!G52="????",'Instructor Calculations'!F53, Planning!G52),   Tracking!H52),      Desired!I54))*(C53+D53)/100</f>
        <v>0</v>
      </c>
      <c r="W53" s="27">
        <f t="shared" si="8"/>
        <v>92.85090000000001</v>
      </c>
      <c r="X53" s="28" t="str">
        <f>IF($F53=0,"",IF(U53="????", T53,VLOOKUP(U53,'Instructor Course Information'!$M$2:$N$16,2)))</f>
        <v/>
      </c>
      <c r="Y53" s="35" t="str">
        <f>IF('Instructor Calculations'!$B53="","","????")</f>
        <v/>
      </c>
      <c r="Z53" t="str">
        <f t="shared" si="26"/>
        <v/>
      </c>
    </row>
    <row r="54" spans="1:26" ht="16.5" thickTop="1" thickBot="1" x14ac:dyDescent="0.3">
      <c r="A54" s="37"/>
      <c r="B54" s="38"/>
      <c r="C54" s="37"/>
      <c r="D54" s="37"/>
      <c r="E54" s="37"/>
      <c r="F54" s="37"/>
      <c r="G54" s="30">
        <f t="shared" si="3"/>
        <v>100</v>
      </c>
      <c r="H54" s="26">
        <f t="shared" si="23"/>
        <v>0</v>
      </c>
      <c r="I54" s="27">
        <f t="shared" si="24"/>
        <v>70.5</v>
      </c>
      <c r="J54" s="27">
        <f t="shared" si="25"/>
        <v>0</v>
      </c>
      <c r="K54" s="27">
        <f t="shared" si="5"/>
        <v>81.099999999999994</v>
      </c>
      <c r="L54" s="28" t="str">
        <f>IF($F54=0,"",VLOOKUP(F54,'Instructor Course Information'!$M$2:$N$16,2))</f>
        <v/>
      </c>
      <c r="M54" s="32" t="str">
        <f>Planning!G53</f>
        <v/>
      </c>
      <c r="N54" s="27">
        <f>(IF(Planning!G53="????",F54,IF(M54="",0,M54))*(C54+D54)/100)</f>
        <v>0</v>
      </c>
      <c r="O54" s="27">
        <f t="shared" si="6"/>
        <v>84.57</v>
      </c>
      <c r="P54" s="28" t="str">
        <f>IF($F54=0,"",IF(M54="????", L54,VLOOKUP(M54,'Instructor Course Information'!$M$2:$N$16,2)))</f>
        <v/>
      </c>
      <c r="Q54" s="31"/>
      <c r="R54" s="27">
        <f>IF(Tracking!H53="????",IF(Planning!G53="????",F54,IF(Planning!G53="",0,Planning!G53)),IF(Tracking!H53="",0,Tracking!H53))*(C54+D54)/100</f>
        <v>0</v>
      </c>
      <c r="S54" s="27">
        <f t="shared" si="7"/>
        <v>92.85090000000001</v>
      </c>
      <c r="T54" s="33" t="str">
        <f>IF($F54=0,"",IF(Q54="????", P54,VLOOKUP(Q54,'Instructor Course Information'!$M$2:$N$16,2)))</f>
        <v/>
      </c>
      <c r="U54" s="36" t="str">
        <f>Desired!I55</f>
        <v/>
      </c>
      <c r="V54" s="27">
        <f>IF(Desired!I55="",'Instructor Calculations'!R54,     IF(Desired!I55="????",       IF(Tracking!H53="????",     IF(Planning!G53="????",'Instructor Calculations'!F54, Planning!G53),   Tracking!H53),      Desired!I55))*(C54+D54)/100</f>
        <v>0</v>
      </c>
      <c r="W54" s="27">
        <f t="shared" si="8"/>
        <v>92.85090000000001</v>
      </c>
      <c r="X54" s="28" t="str">
        <f>IF($F54=0,"",IF(U54="????", T54,VLOOKUP(U54,'Instructor Course Information'!$M$2:$N$16,2)))</f>
        <v/>
      </c>
      <c r="Y54" s="35" t="str">
        <f>IF('Instructor Calculations'!$B54="","","????")</f>
        <v/>
      </c>
      <c r="Z54" t="str">
        <f t="shared" si="26"/>
        <v/>
      </c>
    </row>
    <row r="55" spans="1:26" ht="15.75" thickTop="1" x14ac:dyDescent="0.25">
      <c r="A55" s="6"/>
      <c r="B55" s="476"/>
      <c r="C55" s="6"/>
      <c r="D55" s="6"/>
      <c r="E55" s="6"/>
      <c r="F55" s="6"/>
      <c r="G55" s="6"/>
      <c r="H55" s="5" t="s">
        <v>103</v>
      </c>
      <c r="I55" s="5"/>
      <c r="J55" s="5"/>
      <c r="K55" s="45">
        <f>K54</f>
        <v>81.099999999999994</v>
      </c>
      <c r="L55" s="5"/>
      <c r="M55" s="5" t="s">
        <v>105</v>
      </c>
      <c r="N55" s="5"/>
      <c r="O55" s="45">
        <f>O54</f>
        <v>84.57</v>
      </c>
      <c r="P55" s="5"/>
      <c r="Q55" s="5" t="s">
        <v>78</v>
      </c>
      <c r="R55" s="5"/>
      <c r="S55" s="45">
        <f>S54</f>
        <v>92.85090000000001</v>
      </c>
      <c r="T55" s="5"/>
      <c r="U55" s="5" t="s">
        <v>79</v>
      </c>
      <c r="V55" s="5"/>
      <c r="W55" s="45">
        <f>W54</f>
        <v>92.85090000000001</v>
      </c>
      <c r="X55" s="5"/>
      <c r="Y55" s="5"/>
    </row>
    <row r="56" spans="1:26" x14ac:dyDescent="0.25">
      <c r="A56" s="6"/>
      <c r="B56" s="476"/>
      <c r="C56" s="6"/>
      <c r="D56" s="6"/>
      <c r="E56" s="6"/>
      <c r="F56" s="6"/>
      <c r="G56" s="6"/>
      <c r="H56" s="5" t="s">
        <v>104</v>
      </c>
      <c r="I56" s="5"/>
      <c r="J56" s="5"/>
      <c r="K56" s="5" t="str">
        <f>VLOOKUP(K55,'Instructor Course Information'!$M$2:$N$16,2)</f>
        <v>B+/A-/A</v>
      </c>
      <c r="L56" s="5"/>
      <c r="M56" s="5" t="s">
        <v>106</v>
      </c>
      <c r="N56" s="5"/>
      <c r="O56" s="5" t="str">
        <f>VLOOKUP(O55,'Instructor Course Information'!$M$2:$N$16,2)</f>
        <v>B+/A-/A</v>
      </c>
      <c r="Q56" s="5" t="s">
        <v>78</v>
      </c>
      <c r="R56" s="5"/>
      <c r="S56" s="5" t="str">
        <f>VLOOKUP(S55,'Instructor Course Information'!$M$2:$N$16,2)</f>
        <v>A+</v>
      </c>
      <c r="U56" s="5" t="s">
        <v>79</v>
      </c>
      <c r="V56" s="5"/>
      <c r="W56" s="5" t="str">
        <f>VLOOKUP(W55,'Instructor Course Information'!$M$2:$N$16,2)</f>
        <v>A+</v>
      </c>
    </row>
    <row r="57" spans="1:26" x14ac:dyDescent="0.25">
      <c r="A57" s="3"/>
      <c r="B57" s="475"/>
      <c r="C57" s="3"/>
      <c r="D57" s="3"/>
      <c r="E57" s="3"/>
      <c r="F57" s="3"/>
      <c r="G57" s="3"/>
    </row>
  </sheetData>
  <sheetProtection algorithmName="SHA-512" hashValue="qb1bv3Clur5Toyp5ARcKE4QrDTiZWWlhC39bO+rEO4jlekCrRmdWJhFiy9PWK2nDs3b+gZPCNxh3iTCLVF7OgA==" saltValue="H+Idrney5JTA+0Sy8QjQf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L54"/>
  <sheetViews>
    <sheetView zoomScale="90" zoomScaleNormal="9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A3" sqref="A3"/>
    </sheetView>
  </sheetViews>
  <sheetFormatPr defaultColWidth="8.85546875" defaultRowHeight="15" x14ac:dyDescent="0.25"/>
  <cols>
    <col min="2" max="2" width="10.7109375" bestFit="1" customWidth="1"/>
    <col min="3" max="3" width="9.7109375" bestFit="1" customWidth="1"/>
    <col min="4" max="4" width="9.28515625" bestFit="1" customWidth="1"/>
    <col min="5" max="6" width="9.85546875" bestFit="1" customWidth="1"/>
  </cols>
  <sheetData>
    <row r="1" spans="1:12" ht="31.5" x14ac:dyDescent="0.5">
      <c r="A1" s="18" t="s">
        <v>65</v>
      </c>
      <c r="B1" s="18"/>
      <c r="C1" s="18"/>
      <c r="D1" s="18"/>
      <c r="G1" s="18"/>
      <c r="I1" s="18" t="s">
        <v>66</v>
      </c>
    </row>
    <row r="2" spans="1:12" ht="23.25" x14ac:dyDescent="0.35">
      <c r="I2" s="47" t="s">
        <v>151</v>
      </c>
      <c r="J2" s="48"/>
      <c r="K2" s="48"/>
      <c r="L2" s="214"/>
    </row>
    <row r="3" spans="1:12" x14ac:dyDescent="0.25">
      <c r="A3" t="str">
        <f>'Instructor Course Information'!A1</f>
        <v>Course Components</v>
      </c>
      <c r="B3" t="str">
        <f>'Instructor Course Information'!B1</f>
        <v>Approximate Completion Date</v>
      </c>
      <c r="C3" t="str">
        <f>'Instructor Course Information'!C1</f>
        <v>Course Percentage</v>
      </c>
      <c r="D3" t="str">
        <f>'Instructor Course Information'!D1</f>
        <v>Bonus Percentage</v>
      </c>
      <c r="E3" t="str">
        <f>'Instructor Course Information'!E1</f>
        <v>2017 Rough class average</v>
      </c>
      <c r="F3" t="str">
        <f>'Instructor Course Information'!F1</f>
        <v>Predicted Mark</v>
      </c>
    </row>
    <row r="4" spans="1:12" hidden="1" x14ac:dyDescent="0.25">
      <c r="A4" t="str">
        <f>'Instructor Course Information'!A31</f>
        <v>PreLab 0 Report/Demo</v>
      </c>
      <c r="B4">
        <f>IF('Instructor Course Information'!B31="","",'Instructor Course Information'!B31)</f>
        <v>43728</v>
      </c>
      <c r="C4">
        <f>'Instructor Course Information'!C31</f>
        <v>1.5</v>
      </c>
      <c r="D4">
        <f>'Instructor Course Information'!D31</f>
        <v>0</v>
      </c>
      <c r="E4">
        <f>'Instructor Course Information'!E31</f>
        <v>80</v>
      </c>
      <c r="F4">
        <f>'Instructor Course Information'!F31</f>
        <v>96</v>
      </c>
    </row>
    <row r="5" spans="1:12" hidden="1" x14ac:dyDescent="0.25">
      <c r="A5" t="str">
        <f>'Instructor Course Information'!A2</f>
        <v>Initial EMA Submit</v>
      </c>
      <c r="B5">
        <f>IF('Instructor Course Information'!B2="","",'Instructor Course Information'!B2)</f>
        <v>43740</v>
      </c>
      <c r="C5">
        <f>'Instructor Course Information'!C2</f>
        <v>2</v>
      </c>
      <c r="D5">
        <f>'Instructor Course Information'!D2</f>
        <v>0</v>
      </c>
      <c r="E5">
        <f>'Instructor Course Information'!E2</f>
        <v>75</v>
      </c>
      <c r="F5">
        <f>'Instructor Course Information'!F2</f>
        <v>86.25</v>
      </c>
    </row>
    <row r="6" spans="1:12" hidden="1" x14ac:dyDescent="0.25">
      <c r="A6" t="str">
        <f>'Instructor Course Information'!A24</f>
        <v>Lab 0 Demo</v>
      </c>
      <c r="B6">
        <f>IF('Instructor Course Information'!B24="","",'Instructor Course Information'!B24)</f>
        <v>43740</v>
      </c>
      <c r="C6">
        <f>'Instructor Course Information'!C24</f>
        <v>1.6</v>
      </c>
      <c r="D6">
        <f>'Instructor Course Information'!D24</f>
        <v>0</v>
      </c>
      <c r="E6">
        <f>'Instructor Course Information'!E24</f>
        <v>80</v>
      </c>
      <c r="F6">
        <f>'Instructor Course Information'!F24</f>
        <v>96</v>
      </c>
    </row>
    <row r="7" spans="1:12" hidden="1" x14ac:dyDescent="0.25">
      <c r="A7" t="str">
        <f>'Instructor Course Information'!A10</f>
        <v>Quiz 1</v>
      </c>
      <c r="B7">
        <f>IF('Instructor Course Information'!B10="","",'Instructor Course Information'!B10)</f>
        <v>43752</v>
      </c>
      <c r="C7">
        <f>'Instructor Course Information'!C10</f>
        <v>4</v>
      </c>
      <c r="D7">
        <f>'Instructor Course Information'!D10</f>
        <v>0</v>
      </c>
      <c r="E7">
        <f>'Instructor Course Information'!E10</f>
        <v>65</v>
      </c>
      <c r="F7">
        <f>'Instructor Course Information'!F10</f>
        <v>71.5</v>
      </c>
    </row>
    <row r="8" spans="1:12" hidden="1" x14ac:dyDescent="0.25">
      <c r="A8" t="str">
        <f>'Instructor Course Information'!A11</f>
        <v>In Quiz 1 prediction</v>
      </c>
      <c r="B8">
        <f>IF('Instructor Course Information'!B11="","",'Instructor Course Information'!B11)</f>
        <v>43752</v>
      </c>
      <c r="C8">
        <f>'Instructor Course Information'!C11</f>
        <v>0</v>
      </c>
      <c r="D8">
        <f>'Instructor Course Information'!D11</f>
        <v>0.5</v>
      </c>
      <c r="E8">
        <f>'Instructor Course Information'!E11</f>
        <v>1E-3</v>
      </c>
      <c r="F8">
        <f>'Instructor Course Information'!F11</f>
        <v>1.15E-3</v>
      </c>
    </row>
    <row r="9" spans="1:12" hidden="1" x14ac:dyDescent="0.25">
      <c r="A9" t="str">
        <f>'Instructor Course Information'!A3</f>
        <v>Post Quiz 1 EMA Submit</v>
      </c>
      <c r="B9">
        <f>IF('Instructor Course Information'!B3="","",'Instructor Course Information'!B3)</f>
        <v>43753</v>
      </c>
      <c r="C9">
        <f>'Instructor Course Information'!C3</f>
        <v>0</v>
      </c>
      <c r="D9">
        <f>'Instructor Course Information'!D3</f>
        <v>0.5</v>
      </c>
      <c r="E9">
        <f>'Instructor Course Information'!E3</f>
        <v>1E-3</v>
      </c>
      <c r="F9">
        <f>'Instructor Course Information'!F3</f>
        <v>1.15E-3</v>
      </c>
    </row>
    <row r="10" spans="1:12" hidden="1" x14ac:dyDescent="0.25">
      <c r="A10" t="str">
        <f>'Instructor Course Information'!A26</f>
        <v>Lab 1 Demo</v>
      </c>
      <c r="B10">
        <f>IF('Instructor Course Information'!B26="","",'Instructor Course Information'!B26)</f>
        <v>43754</v>
      </c>
      <c r="C10">
        <f>'Instructor Course Information'!C26</f>
        <v>4</v>
      </c>
      <c r="D10">
        <f>'Instructor Course Information'!D26</f>
        <v>0</v>
      </c>
      <c r="E10">
        <f>'Instructor Course Information'!E26</f>
        <v>80</v>
      </c>
      <c r="F10">
        <f>'Instructor Course Information'!F26</f>
        <v>96</v>
      </c>
    </row>
    <row r="11" spans="1:12" hidden="1" x14ac:dyDescent="0.25">
      <c r="A11" t="str">
        <f>'Instructor Course Information'!A34</f>
        <v>Assignment 1</v>
      </c>
      <c r="B11">
        <f>IF('Instructor Course Information'!B34="","",'Instructor Course Information'!B34)</f>
        <v>43758</v>
      </c>
      <c r="C11">
        <f>'Instructor Course Information'!C34</f>
        <v>3</v>
      </c>
      <c r="D11">
        <f>'Instructor Course Information'!D34</f>
        <v>0</v>
      </c>
      <c r="E11">
        <f>'Instructor Course Information'!E34</f>
        <v>80</v>
      </c>
      <c r="F11">
        <f>'Instructor Course Information'!F34</f>
        <v>92</v>
      </c>
    </row>
    <row r="12" spans="1:12" hidden="1" x14ac:dyDescent="0.25">
      <c r="A12" t="str">
        <f>'Instructor Course Information'!A35</f>
        <v>Assign 1 Early Bonus</v>
      </c>
      <c r="B12">
        <f>IF('Instructor Course Information'!B35="","",'Instructor Course Information'!B35)</f>
        <v>43758</v>
      </c>
      <c r="C12">
        <f>'Instructor Course Information'!C35</f>
        <v>0</v>
      </c>
      <c r="D12">
        <f>'Instructor Course Information'!D35</f>
        <v>0.5</v>
      </c>
      <c r="E12">
        <f>'Instructor Course Information'!E35</f>
        <v>1E-3</v>
      </c>
      <c r="F12">
        <f>'Instructor Course Information'!F35</f>
        <v>1.15E-3</v>
      </c>
    </row>
    <row r="13" spans="1:12" hidden="1" x14ac:dyDescent="0.25">
      <c r="A13" t="str">
        <f>'Instructor Course Information'!A36</f>
        <v>Assignment 2</v>
      </c>
      <c r="B13">
        <f>IF('Instructor Course Information'!B36="","",'Instructor Course Information'!B36)</f>
        <v>43767</v>
      </c>
      <c r="C13">
        <f>'Instructor Course Information'!C36</f>
        <v>4</v>
      </c>
      <c r="D13">
        <f>'Instructor Course Information'!D36</f>
        <v>0</v>
      </c>
      <c r="E13">
        <f>'Instructor Course Information'!E36</f>
        <v>75</v>
      </c>
      <c r="F13">
        <f>'Instructor Course Information'!F36</f>
        <v>86.25</v>
      </c>
    </row>
    <row r="14" spans="1:12" hidden="1" x14ac:dyDescent="0.25">
      <c r="A14" t="str">
        <f>'Instructor Course Information'!A28</f>
        <v>Lab 2 Demo</v>
      </c>
      <c r="B14">
        <f>IF('Instructor Course Information'!B28="","",'Instructor Course Information'!B28)</f>
        <v>43768</v>
      </c>
      <c r="C14">
        <f>'Instructor Course Information'!C28</f>
        <v>4</v>
      </c>
      <c r="D14">
        <f>'Instructor Course Information'!D28</f>
        <v>0</v>
      </c>
      <c r="E14">
        <f>'Instructor Course Information'!E28</f>
        <v>80</v>
      </c>
      <c r="F14">
        <f>'Instructor Course Information'!F28</f>
        <v>96</v>
      </c>
    </row>
    <row r="15" spans="1:12" hidden="1" x14ac:dyDescent="0.25">
      <c r="A15" t="str">
        <f>'Instructor Course Information'!A29</f>
        <v>Lab  2 Report</v>
      </c>
      <c r="B15">
        <f>IF('Instructor Course Information'!B29="","",'Instructor Course Information'!B29)</f>
        <v>43768</v>
      </c>
      <c r="C15">
        <f>'Instructor Course Information'!C29</f>
        <v>2.25</v>
      </c>
      <c r="D15">
        <f>'Instructor Course Information'!D29</f>
        <v>0</v>
      </c>
      <c r="E15">
        <f>'Instructor Course Information'!E29</f>
        <v>80</v>
      </c>
      <c r="F15">
        <f>'Instructor Course Information'!F29</f>
        <v>96</v>
      </c>
    </row>
    <row r="16" spans="1:12" hidden="1" x14ac:dyDescent="0.25">
      <c r="A16" t="str">
        <f>'Instructor Course Information'!A37</f>
        <v>Assign 2 Early Bonus</v>
      </c>
      <c r="B16">
        <f>IF('Instructor Course Information'!B37="","",'Instructor Course Information'!B37)</f>
        <v>43768</v>
      </c>
      <c r="C16">
        <f>'Instructor Course Information'!C37</f>
        <v>0</v>
      </c>
      <c r="D16">
        <f>'Instructor Course Information'!D37</f>
        <v>0.5</v>
      </c>
      <c r="E16">
        <f>'Instructor Course Information'!E37</f>
        <v>1E-3</v>
      </c>
      <c r="F16">
        <f>'Instructor Course Information'!F37</f>
        <v>1.15E-3</v>
      </c>
    </row>
    <row r="17" spans="1:6" hidden="1" x14ac:dyDescent="0.25">
      <c r="A17" t="str">
        <f>'Instructor Course Information'!A18</f>
        <v>Midterm</v>
      </c>
      <c r="B17">
        <f>IF('Instructor Course Information'!B18="","",'Instructor Course Information'!B18)</f>
        <v>43769</v>
      </c>
      <c r="C17">
        <f>'Instructor Course Information'!C18</f>
        <v>17</v>
      </c>
      <c r="D17">
        <f>'Instructor Course Information'!D18</f>
        <v>0</v>
      </c>
      <c r="E17">
        <f>'Instructor Course Information'!E18</f>
        <v>65</v>
      </c>
      <c r="F17">
        <f>'Instructor Course Information'!F18</f>
        <v>71.5</v>
      </c>
    </row>
    <row r="18" spans="1:6" hidden="1" x14ac:dyDescent="0.25">
      <c r="A18" t="str">
        <f>'Instructor Course Information'!A19</f>
        <v>In Midterm prediction</v>
      </c>
      <c r="B18">
        <f>IF('Instructor Course Information'!B19="","",'Instructor Course Information'!B19)</f>
        <v>43769</v>
      </c>
      <c r="C18">
        <f>'Instructor Course Information'!C19</f>
        <v>0</v>
      </c>
      <c r="D18">
        <f>'Instructor Course Information'!D19</f>
        <v>0.5</v>
      </c>
      <c r="E18">
        <f>'Instructor Course Information'!E19</f>
        <v>1E-3</v>
      </c>
      <c r="F18">
        <f>'Instructor Course Information'!F19</f>
        <v>1.15E-3</v>
      </c>
    </row>
    <row r="19" spans="1:6" hidden="1" x14ac:dyDescent="0.25">
      <c r="A19" t="str">
        <f>'Instructor Course Information'!A7</f>
        <v>Post Midterm EMA Submit</v>
      </c>
      <c r="B19">
        <f>IF('Instructor Course Information'!B7="","",'Instructor Course Information'!B7)</f>
        <v>43771</v>
      </c>
      <c r="C19">
        <f>'Instructor Course Information'!C7</f>
        <v>0</v>
      </c>
      <c r="D19">
        <f>'Instructor Course Information'!D7</f>
        <v>0.5</v>
      </c>
      <c r="E19">
        <f>'Instructor Course Information'!E7</f>
        <v>1E-3</v>
      </c>
      <c r="F19">
        <f>'Instructor Course Information'!F7</f>
        <v>1.15E-3</v>
      </c>
    </row>
    <row r="20" spans="1:6" hidden="1" x14ac:dyDescent="0.25">
      <c r="A20" t="str">
        <f>'Instructor Course Information'!A5</f>
        <v>Post Quiz 3 EMASubmit</v>
      </c>
      <c r="B20">
        <f>IF('Instructor Course Information'!B5="","",'Instructor Course Information'!B5)</f>
        <v>43789</v>
      </c>
      <c r="C20">
        <f>'Instructor Course Information'!C5</f>
        <v>0</v>
      </c>
      <c r="D20">
        <f>'Instructor Course Information'!D5</f>
        <v>0.5</v>
      </c>
      <c r="E20">
        <f>'Instructor Course Information'!E5</f>
        <v>1E-3</v>
      </c>
      <c r="F20">
        <f>'Instructor Course Information'!F5</f>
        <v>1.15E-3</v>
      </c>
    </row>
    <row r="21" spans="1:6" hidden="1" x14ac:dyDescent="0.25">
      <c r="A21" t="str">
        <f>'Instructor Course Information'!A30</f>
        <v>Lab 3 Demo</v>
      </c>
      <c r="B21">
        <f>IF('Instructor Course Information'!B30="","",'Instructor Course Information'!B30)</f>
        <v>43789</v>
      </c>
      <c r="C21">
        <f>'Instructor Course Information'!C30</f>
        <v>2.4</v>
      </c>
      <c r="D21">
        <f>'Instructor Course Information'!D30</f>
        <v>0</v>
      </c>
      <c r="E21">
        <f>'Instructor Course Information'!E30</f>
        <v>80</v>
      </c>
      <c r="F21">
        <f>'Instructor Course Information'!F30</f>
        <v>96</v>
      </c>
    </row>
    <row r="22" spans="1:6" hidden="1" x14ac:dyDescent="0.25">
      <c r="A22" t="str">
        <f>'Instructor Course Information'!A14</f>
        <v>Quiz 3</v>
      </c>
      <c r="B22">
        <f>IF('Instructor Course Information'!B14="","",'Instructor Course Information'!B14)</f>
        <v>43791</v>
      </c>
      <c r="C22">
        <f>'Instructor Course Information'!C14</f>
        <v>4</v>
      </c>
      <c r="D22">
        <f>'Instructor Course Information'!D14</f>
        <v>0</v>
      </c>
      <c r="E22">
        <f>'Instructor Course Information'!E14</f>
        <v>65</v>
      </c>
      <c r="F22">
        <f>'Instructor Course Information'!F14</f>
        <v>71.5</v>
      </c>
    </row>
    <row r="23" spans="1:6" hidden="1" x14ac:dyDescent="0.25">
      <c r="A23" t="str">
        <f>'Instructor Course Information'!A15</f>
        <v>In Quiz 3 prediction</v>
      </c>
      <c r="B23">
        <f>IF('Instructor Course Information'!B15="","",'Instructor Course Information'!B15)</f>
        <v>43791</v>
      </c>
      <c r="C23">
        <f>'Instructor Course Information'!C15</f>
        <v>0</v>
      </c>
      <c r="D23">
        <f>'Instructor Course Information'!D15</f>
        <v>0.5</v>
      </c>
      <c r="E23">
        <f>'Instructor Course Information'!E15</f>
        <v>1E-3</v>
      </c>
      <c r="F23">
        <f>'Instructor Course Information'!F15</f>
        <v>1.15E-3</v>
      </c>
    </row>
    <row r="24" spans="1:6" hidden="1" x14ac:dyDescent="0.25">
      <c r="A24" t="str">
        <f>'Instructor Course Information'!A32</f>
        <v>Lab 4 Demo</v>
      </c>
      <c r="B24">
        <f>IF('Instructor Course Information'!B32="","",'Instructor Course Information'!B32)</f>
        <v>43802</v>
      </c>
      <c r="C24">
        <f>'Instructor Course Information'!C32</f>
        <v>4</v>
      </c>
      <c r="D24">
        <f>'Instructor Course Information'!D32</f>
        <v>0</v>
      </c>
      <c r="E24">
        <f>'Instructor Course Information'!E32</f>
        <v>70</v>
      </c>
      <c r="F24">
        <f>'Instructor Course Information'!F32</f>
        <v>84</v>
      </c>
    </row>
    <row r="25" spans="1:6" hidden="1" x14ac:dyDescent="0.25">
      <c r="A25" t="str">
        <f>'Instructor Course Information'!A33</f>
        <v>Lab 3/4 Report</v>
      </c>
      <c r="B25">
        <f>IF('Instructor Course Information'!B33="","",'Instructor Course Information'!B33)</f>
        <v>43804</v>
      </c>
      <c r="C25">
        <f>'Instructor Course Information'!C33</f>
        <v>2.25</v>
      </c>
      <c r="D25">
        <f>'Instructor Course Information'!D33</f>
        <v>0</v>
      </c>
      <c r="E25">
        <f>'Instructor Course Information'!E33</f>
        <v>60</v>
      </c>
      <c r="F25">
        <f>'Instructor Course Information'!F33</f>
        <v>72</v>
      </c>
    </row>
    <row r="26" spans="1:6" hidden="1" x14ac:dyDescent="0.25">
      <c r="A26" t="str">
        <f>'Instructor Course Information'!A9</f>
        <v>Pre Final EMA Submit</v>
      </c>
      <c r="B26">
        <f>IF('Instructor Course Information'!B9="","",'Instructor Course Information'!B9)</f>
        <v>43809</v>
      </c>
      <c r="C26">
        <f>'Instructor Course Information'!C9</f>
        <v>2</v>
      </c>
      <c r="D26">
        <f>'Instructor Course Information'!D9</f>
        <v>0</v>
      </c>
      <c r="E26">
        <f>'Instructor Course Information'!E9</f>
        <v>60</v>
      </c>
      <c r="F26">
        <f>'Instructor Course Information'!F9</f>
        <v>69</v>
      </c>
    </row>
    <row r="27" spans="1:6" hidden="1" x14ac:dyDescent="0.25">
      <c r="A27" t="str">
        <f>'Instructor Course Information'!A22</f>
        <v>Final Exam</v>
      </c>
      <c r="B27">
        <f>IF('Instructor Course Information'!B22="","",'Instructor Course Information'!B22)</f>
        <v>43814</v>
      </c>
      <c r="C27">
        <f>'Instructor Course Information'!C22</f>
        <v>42</v>
      </c>
      <c r="D27">
        <f>'Instructor Course Information'!D22</f>
        <v>0</v>
      </c>
      <c r="E27">
        <f>'Instructor Course Information'!E22</f>
        <v>70</v>
      </c>
      <c r="F27">
        <f>'Instructor Course Information'!F22</f>
        <v>80.5</v>
      </c>
    </row>
    <row r="28" spans="1:6" hidden="1" x14ac:dyDescent="0.25">
      <c r="A28" t="str">
        <f>'Instructor Course Information'!A23</f>
        <v>In Final Exam prediction</v>
      </c>
      <c r="B28">
        <f>IF('Instructor Course Information'!B23="","",'Instructor Course Information'!B23)</f>
        <v>43814</v>
      </c>
      <c r="C28">
        <f>'Instructor Course Information'!C23</f>
        <v>0</v>
      </c>
      <c r="D28">
        <f>'Instructor Course Information'!D23</f>
        <v>1</v>
      </c>
      <c r="E28">
        <f>'Instructor Course Information'!E23</f>
        <v>1E-3</v>
      </c>
      <c r="F28">
        <f>'Instructor Course Information'!F23</f>
        <v>1.15E-3</v>
      </c>
    </row>
    <row r="29" spans="1:6" hidden="1" x14ac:dyDescent="0.25">
      <c r="A29" t="str">
        <f>'Instructor Course Information'!A4</f>
        <v>Post Quiz 2 EMASubmit</v>
      </c>
      <c r="B29" t="str">
        <f>IF('Instructor Course Information'!B4="","",'Instructor Course Information'!B4)</f>
        <v/>
      </c>
      <c r="C29">
        <f>'Instructor Course Information'!C4</f>
        <v>0</v>
      </c>
      <c r="D29">
        <f>'Instructor Course Information'!D4</f>
        <v>0</v>
      </c>
      <c r="E29">
        <f>'Instructor Course Information'!E4</f>
        <v>1E-3</v>
      </c>
      <c r="F29">
        <f>'Instructor Course Information'!F4</f>
        <v>1.15E-3</v>
      </c>
    </row>
    <row r="30" spans="1:6" hidden="1" x14ac:dyDescent="0.25">
      <c r="A30" t="str">
        <f>'Instructor Course Information'!A6</f>
        <v>Post Quiz 4 EMA Submit</v>
      </c>
      <c r="B30" t="str">
        <f>IF('Instructor Course Information'!B6="","",'Instructor Course Information'!B6)</f>
        <v/>
      </c>
      <c r="C30">
        <f>'Instructor Course Information'!C6</f>
        <v>0</v>
      </c>
      <c r="D30">
        <f>'Instructor Course Information'!D6</f>
        <v>0</v>
      </c>
      <c r="E30">
        <f>'Instructor Course Information'!E6</f>
        <v>1E-3</v>
      </c>
      <c r="F30">
        <f>'Instructor Course Information'!F6</f>
        <v>1.15E-3</v>
      </c>
    </row>
    <row r="31" spans="1:6" hidden="1" x14ac:dyDescent="0.25">
      <c r="A31" t="str">
        <f>'Instructor Course Information'!A8</f>
        <v>Post Midterm2 EMA Submit</v>
      </c>
      <c r="B31" t="str">
        <f>IF('Instructor Course Information'!B8="","",'Instructor Course Information'!B8)</f>
        <v/>
      </c>
      <c r="C31">
        <f>'Instructor Course Information'!C8</f>
        <v>0</v>
      </c>
      <c r="D31">
        <f>'Instructor Course Information'!D8</f>
        <v>0</v>
      </c>
      <c r="E31">
        <f>'Instructor Course Information'!E8</f>
        <v>1E-3</v>
      </c>
      <c r="F31">
        <f>'Instructor Course Information'!F8</f>
        <v>1.15E-3</v>
      </c>
    </row>
    <row r="32" spans="1:6" hidden="1" x14ac:dyDescent="0.25">
      <c r="A32" t="str">
        <f>'Instructor Course Information'!A12</f>
        <v>Quiz 2</v>
      </c>
      <c r="B32" t="str">
        <f>IF('Instructor Course Information'!B12="","",'Instructor Course Information'!B12)</f>
        <v/>
      </c>
      <c r="C32">
        <f>'Instructor Course Information'!C12</f>
        <v>0</v>
      </c>
      <c r="D32">
        <f>'Instructor Course Information'!D12</f>
        <v>0</v>
      </c>
      <c r="E32">
        <f>'Instructor Course Information'!E12</f>
        <v>0</v>
      </c>
      <c r="F32">
        <f>'Instructor Course Information'!F12</f>
        <v>0</v>
      </c>
    </row>
    <row r="33" spans="1:6" hidden="1" x14ac:dyDescent="0.25">
      <c r="A33" t="str">
        <f>'Instructor Course Information'!A13</f>
        <v>In Quiz 2 prediction</v>
      </c>
      <c r="B33" t="str">
        <f>IF('Instructor Course Information'!B13="","",'Instructor Course Information'!B13)</f>
        <v/>
      </c>
      <c r="C33">
        <f>'Instructor Course Information'!C13</f>
        <v>0</v>
      </c>
      <c r="D33">
        <f>'Instructor Course Information'!D13</f>
        <v>0</v>
      </c>
      <c r="E33">
        <f>'Instructor Course Information'!E13</f>
        <v>1E-3</v>
      </c>
      <c r="F33">
        <f>'Instructor Course Information'!F13</f>
        <v>1.15E-3</v>
      </c>
    </row>
    <row r="34" spans="1:6" hidden="1" x14ac:dyDescent="0.25">
      <c r="A34" t="str">
        <f>'Instructor Course Information'!A16</f>
        <v>Quiz 4</v>
      </c>
      <c r="B34" t="str">
        <f>IF('Instructor Course Information'!B16="","",'Instructor Course Information'!B16)</f>
        <v/>
      </c>
      <c r="C34">
        <f>'Instructor Course Information'!C16</f>
        <v>0</v>
      </c>
      <c r="D34">
        <f>'Instructor Course Information'!D16</f>
        <v>0</v>
      </c>
      <c r="E34">
        <f>'Instructor Course Information'!E16</f>
        <v>0</v>
      </c>
      <c r="F34">
        <f>'Instructor Course Information'!F16</f>
        <v>0</v>
      </c>
    </row>
    <row r="35" spans="1:6" hidden="1" x14ac:dyDescent="0.25">
      <c r="A35" t="str">
        <f>'Instructor Course Information'!A17</f>
        <v>In Quiz 4 prediction</v>
      </c>
      <c r="B35" t="str">
        <f>IF('Instructor Course Information'!B17="","",'Instructor Course Information'!B17)</f>
        <v/>
      </c>
      <c r="C35">
        <f>'Instructor Course Information'!C17</f>
        <v>0</v>
      </c>
      <c r="D35">
        <f>'Instructor Course Information'!D17</f>
        <v>0</v>
      </c>
      <c r="E35">
        <f>'Instructor Course Information'!E17</f>
        <v>1E-3</v>
      </c>
      <c r="F35">
        <f>'Instructor Course Information'!F17</f>
        <v>1.15E-3</v>
      </c>
    </row>
    <row r="36" spans="1:6" hidden="1" x14ac:dyDescent="0.25">
      <c r="A36" t="str">
        <f>'Instructor Course Information'!A20</f>
        <v>Midterm 2</v>
      </c>
      <c r="B36" t="str">
        <f>IF('Instructor Course Information'!B20="","",'Instructor Course Information'!B20)</f>
        <v/>
      </c>
      <c r="C36">
        <f>'Instructor Course Information'!C20</f>
        <v>0</v>
      </c>
      <c r="D36">
        <f>'Instructor Course Information'!D20</f>
        <v>0</v>
      </c>
      <c r="E36">
        <f>'Instructor Course Information'!E20</f>
        <v>0</v>
      </c>
      <c r="F36">
        <f>'Instructor Course Information'!F20</f>
        <v>0</v>
      </c>
    </row>
    <row r="37" spans="1:6" hidden="1" x14ac:dyDescent="0.25">
      <c r="A37" t="str">
        <f>'Instructor Course Information'!A21</f>
        <v>In Midterm 2 prediction</v>
      </c>
      <c r="B37" t="str">
        <f>IF('Instructor Course Information'!B21="","",'Instructor Course Information'!B21)</f>
        <v/>
      </c>
      <c r="C37">
        <f>'Instructor Course Information'!C21</f>
        <v>0</v>
      </c>
      <c r="D37">
        <f>'Instructor Course Information'!D21</f>
        <v>0</v>
      </c>
      <c r="E37">
        <f>'Instructor Course Information'!E21</f>
        <v>1E-3</v>
      </c>
      <c r="F37">
        <f>'Instructor Course Information'!F21</f>
        <v>1.15E-3</v>
      </c>
    </row>
    <row r="38" spans="1:6" hidden="1" x14ac:dyDescent="0.25">
      <c r="A38" t="str">
        <f>'Instructor Course Information'!A25</f>
        <v>Lab 0 Report</v>
      </c>
      <c r="B38" t="str">
        <f>IF('Instructor Course Information'!B25="","",'Instructor Course Information'!B25)</f>
        <v/>
      </c>
      <c r="C38">
        <f>'Instructor Course Information'!C25</f>
        <v>0</v>
      </c>
      <c r="D38">
        <f>'Instructor Course Information'!D25</f>
        <v>0</v>
      </c>
      <c r="E38">
        <f>'Instructor Course Information'!E25</f>
        <v>0</v>
      </c>
      <c r="F38">
        <f>'Instructor Course Information'!F25</f>
        <v>0</v>
      </c>
    </row>
    <row r="39" spans="1:6" hidden="1" x14ac:dyDescent="0.25">
      <c r="A39" t="str">
        <f>'Instructor Course Information'!A27</f>
        <v>Lab 0/1 Report</v>
      </c>
      <c r="B39" t="str">
        <f>IF('Instructor Course Information'!B27="","",'Instructor Course Information'!B27)</f>
        <v/>
      </c>
      <c r="C39">
        <f>'Instructor Course Information'!C27</f>
        <v>0</v>
      </c>
      <c r="D39">
        <f>'Instructor Course Information'!D27</f>
        <v>0</v>
      </c>
      <c r="E39">
        <f>'Instructor Course Information'!E27</f>
        <v>0</v>
      </c>
      <c r="F39">
        <f>'Instructor Course Information'!F27</f>
        <v>0</v>
      </c>
    </row>
    <row r="40" spans="1:6" hidden="1" x14ac:dyDescent="0.25">
      <c r="A40" t="str">
        <f>'Instructor Course Information'!A38</f>
        <v>Assignment 3</v>
      </c>
      <c r="B40" t="str">
        <f>IF('Instructor Course Information'!B38="","",'Instructor Course Information'!B38)</f>
        <v/>
      </c>
      <c r="C40">
        <f>'Instructor Course Information'!C38</f>
        <v>0</v>
      </c>
      <c r="D40">
        <f>'Instructor Course Information'!D38</f>
        <v>0</v>
      </c>
      <c r="E40">
        <f>'Instructor Course Information'!E38</f>
        <v>0</v>
      </c>
      <c r="F40">
        <f>'Instructor Course Information'!F38</f>
        <v>0</v>
      </c>
    </row>
    <row r="41" spans="1:6" hidden="1" x14ac:dyDescent="0.25">
      <c r="A41" t="str">
        <f>'Instructor Course Information'!A39</f>
        <v>Assigment 3 Bonus</v>
      </c>
      <c r="B41" t="str">
        <f>IF('Instructor Course Information'!B39="","",'Instructor Course Information'!B39)</f>
        <v/>
      </c>
      <c r="C41">
        <f>'Instructor Course Information'!C39</f>
        <v>0</v>
      </c>
      <c r="D41">
        <f>'Instructor Course Information'!D39</f>
        <v>0</v>
      </c>
      <c r="E41">
        <f>'Instructor Course Information'!E39</f>
        <v>1E-3</v>
      </c>
      <c r="F41">
        <f>'Instructor Course Information'!F39</f>
        <v>1.15E-3</v>
      </c>
    </row>
    <row r="42" spans="1:6" hidden="1" x14ac:dyDescent="0.25">
      <c r="A42" t="str">
        <f>'Instructor Course Information'!A40</f>
        <v>Assignment 4</v>
      </c>
      <c r="B42" t="str">
        <f>IF('Instructor Course Information'!B40="","",'Instructor Course Information'!B40)</f>
        <v/>
      </c>
      <c r="C42">
        <f>'Instructor Course Information'!C40</f>
        <v>0</v>
      </c>
      <c r="D42">
        <f>'Instructor Course Information'!D40</f>
        <v>0</v>
      </c>
      <c r="E42">
        <f>'Instructor Course Information'!E40</f>
        <v>0</v>
      </c>
      <c r="F42">
        <f>'Instructor Course Information'!F40</f>
        <v>0</v>
      </c>
    </row>
    <row r="43" spans="1:6" hidden="1" x14ac:dyDescent="0.25">
      <c r="A43" t="str">
        <f>'Instructor Course Information'!A41</f>
        <v>Assignment 4 Bonus</v>
      </c>
      <c r="B43" t="str">
        <f>IF('Instructor Course Information'!B41="","",'Instructor Course Information'!B41)</f>
        <v/>
      </c>
      <c r="C43">
        <f>'Instructor Course Information'!C41</f>
        <v>0</v>
      </c>
      <c r="D43">
        <f>'Instructor Course Information'!D41</f>
        <v>0</v>
      </c>
      <c r="E43">
        <f>'Instructor Course Information'!E41</f>
        <v>1E-3</v>
      </c>
      <c r="F43">
        <f>'Instructor Course Information'!F41</f>
        <v>1.15E-3</v>
      </c>
    </row>
    <row r="44" spans="1:6" hidden="1" x14ac:dyDescent="0.25">
      <c r="A44" t="str">
        <f>'Instructor Course Information'!A42</f>
        <v>Assignment 5</v>
      </c>
      <c r="B44" t="str">
        <f>IF('Instructor Course Information'!B42="","",'Instructor Course Information'!B42)</f>
        <v/>
      </c>
      <c r="C44">
        <f>'Instructor Course Information'!C42</f>
        <v>0</v>
      </c>
      <c r="D44">
        <f>'Instructor Course Information'!D42</f>
        <v>0</v>
      </c>
      <c r="E44">
        <f>'Instructor Course Information'!E42</f>
        <v>0</v>
      </c>
      <c r="F44">
        <f>'Instructor Course Information'!F42</f>
        <v>0</v>
      </c>
    </row>
    <row r="45" spans="1:6" hidden="1" x14ac:dyDescent="0.25">
      <c r="A45" t="str">
        <f>'Instructor Course Information'!A43</f>
        <v>Assigment 5 Bonus</v>
      </c>
      <c r="B45" t="str">
        <f>IF('Instructor Course Information'!B43="","",'Instructor Course Information'!B43)</f>
        <v/>
      </c>
      <c r="C45">
        <f>'Instructor Course Information'!C43</f>
        <v>0</v>
      </c>
      <c r="D45">
        <f>'Instructor Course Information'!D43</f>
        <v>0</v>
      </c>
      <c r="E45">
        <f>'Instructor Course Information'!E43</f>
        <v>1E-3</v>
      </c>
      <c r="F45">
        <f>'Instructor Course Information'!F43</f>
        <v>1.15E-3</v>
      </c>
    </row>
    <row r="46" spans="1:6" hidden="1" x14ac:dyDescent="0.25">
      <c r="A46" t="str">
        <f>'Instructor Course Information'!A44</f>
        <v>Assignment 6</v>
      </c>
      <c r="B46" t="str">
        <f>IF('Instructor Course Information'!B44="","",'Instructor Course Information'!B44)</f>
        <v/>
      </c>
      <c r="C46">
        <f>'Instructor Course Information'!C44</f>
        <v>0</v>
      </c>
      <c r="D46">
        <f>'Instructor Course Information'!D44</f>
        <v>0</v>
      </c>
      <c r="E46">
        <f>'Instructor Course Information'!E44</f>
        <v>0</v>
      </c>
      <c r="F46">
        <f>'Instructor Course Information'!F44</f>
        <v>0</v>
      </c>
    </row>
    <row r="47" spans="1:6" hidden="1" x14ac:dyDescent="0.25">
      <c r="A47" t="str">
        <f>'Instructor Course Information'!A45</f>
        <v>Assignment 6 Bonus</v>
      </c>
      <c r="B47" t="str">
        <f>IF('Instructor Course Information'!B45="","",'Instructor Course Information'!B45)</f>
        <v/>
      </c>
      <c r="C47">
        <f>'Instructor Course Information'!C45</f>
        <v>0</v>
      </c>
      <c r="D47">
        <f>'Instructor Course Information'!D45</f>
        <v>0</v>
      </c>
      <c r="E47">
        <f>'Instructor Course Information'!E45</f>
        <v>1E-3</v>
      </c>
      <c r="F47">
        <f>'Instructor Course Information'!F45</f>
        <v>1.15E-3</v>
      </c>
    </row>
    <row r="48" spans="1:6" hidden="1" x14ac:dyDescent="0.25">
      <c r="A48" t="str">
        <f>'Instructor Course Information'!A46</f>
        <v>Other 1</v>
      </c>
      <c r="B48" t="str">
        <f>IF('Instructor Course Information'!B46="","",'Instructor Course Information'!B46)</f>
        <v/>
      </c>
      <c r="C48">
        <f>'Instructor Course Information'!C46</f>
        <v>0</v>
      </c>
      <c r="D48">
        <f>'Instructor Course Information'!D46</f>
        <v>0</v>
      </c>
      <c r="E48">
        <f>'Instructor Course Information'!E46</f>
        <v>0</v>
      </c>
      <c r="F48">
        <f>'Instructor Course Information'!F46</f>
        <v>0</v>
      </c>
    </row>
    <row r="49" spans="1:6" hidden="1" x14ac:dyDescent="0.25">
      <c r="A49" t="str">
        <f>'Instructor Course Information'!A47</f>
        <v>Other 2</v>
      </c>
      <c r="B49" t="str">
        <f>IF('Instructor Course Information'!B47="","",'Instructor Course Information'!B47)</f>
        <v/>
      </c>
      <c r="C49">
        <f>'Instructor Course Information'!C47</f>
        <v>0</v>
      </c>
      <c r="D49">
        <f>'Instructor Course Information'!D47</f>
        <v>0</v>
      </c>
      <c r="E49">
        <f>'Instructor Course Information'!E47</f>
        <v>0</v>
      </c>
      <c r="F49">
        <f>'Instructor Course Information'!F47</f>
        <v>0</v>
      </c>
    </row>
    <row r="50" spans="1:6" hidden="1" x14ac:dyDescent="0.25">
      <c r="A50" t="str">
        <f>'Instructor Course Information'!A48</f>
        <v>Other 3</v>
      </c>
      <c r="B50" t="str">
        <f>IF('Instructor Course Information'!B48="","",'Instructor Course Information'!B48)</f>
        <v/>
      </c>
      <c r="C50">
        <f>'Instructor Course Information'!C48</f>
        <v>0</v>
      </c>
      <c r="D50">
        <f>'Instructor Course Information'!D48</f>
        <v>0</v>
      </c>
      <c r="E50">
        <f>'Instructor Course Information'!E48</f>
        <v>0</v>
      </c>
      <c r="F50">
        <f>'Instructor Course Information'!F48</f>
        <v>0</v>
      </c>
    </row>
    <row r="51" spans="1:6" hidden="1" x14ac:dyDescent="0.25">
      <c r="A51" t="str">
        <f>'Instructor Course Information'!A49</f>
        <v>Other 4</v>
      </c>
      <c r="B51" t="str">
        <f>IF('Instructor Course Information'!B49="","",'Instructor Course Information'!B49)</f>
        <v/>
      </c>
      <c r="C51">
        <f>'Instructor Course Information'!C49</f>
        <v>0</v>
      </c>
      <c r="D51">
        <f>'Instructor Course Information'!D49</f>
        <v>0</v>
      </c>
      <c r="E51">
        <f>'Instructor Course Information'!E49</f>
        <v>0</v>
      </c>
      <c r="F51">
        <f>'Instructor Course Information'!F49</f>
        <v>0</v>
      </c>
    </row>
    <row r="52" spans="1:6" hidden="1" x14ac:dyDescent="0.25">
      <c r="A52" t="str">
        <f>'Instructor Course Information'!A50</f>
        <v>Other 5</v>
      </c>
      <c r="B52" t="str">
        <f>IF('Instructor Course Information'!B50="","",'Instructor Course Information'!B50)</f>
        <v/>
      </c>
      <c r="C52">
        <f>'Instructor Course Information'!C50</f>
        <v>0</v>
      </c>
      <c r="D52">
        <f>'Instructor Course Information'!D50</f>
        <v>0</v>
      </c>
      <c r="E52">
        <f>'Instructor Course Information'!E50</f>
        <v>0</v>
      </c>
      <c r="F52">
        <f>'Instructor Course Information'!F50</f>
        <v>0</v>
      </c>
    </row>
    <row r="53" spans="1:6" hidden="1" x14ac:dyDescent="0.25">
      <c r="A53" t="str">
        <f>'Instructor Course Information'!A51</f>
        <v>Other 6</v>
      </c>
      <c r="B53" t="str">
        <f>IF('Instructor Course Information'!B51="","",'Instructor Course Information'!B51)</f>
        <v/>
      </c>
      <c r="C53">
        <f>'Instructor Course Information'!C51</f>
        <v>0</v>
      </c>
      <c r="D53">
        <f>'Instructor Course Information'!D51</f>
        <v>0</v>
      </c>
      <c r="E53">
        <f>'Instructor Course Information'!E51</f>
        <v>0</v>
      </c>
      <c r="F53">
        <f>'Instructor Course Information'!F51</f>
        <v>0</v>
      </c>
    </row>
    <row r="54" spans="1:6" hidden="1" x14ac:dyDescent="0.25"/>
  </sheetData>
  <sheetProtection algorithmName="SHA-512" hashValue="/DHRoYA6bBRHBWvOB7490XJiPOAPPDyY3kIsKGpqZNtHJ7tqsFnyQ35D+5vV5Ec4mKxr1zROUCGHflz6wUfLZw==" saltValue="hf0knBVl5wVwQBfEZayWRQ==" spinCount="100000" sheet="1" objects="1" scenarios="1"/>
  <sortState xmlns:xlrd2="http://schemas.microsoft.com/office/spreadsheetml/2017/richdata2" ref="A4:F53">
    <sortCondition ref="B4:B53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CREDITS</vt:lpstr>
      <vt:lpstr>EMA StartHere</vt:lpstr>
      <vt:lpstr>Prediction</vt:lpstr>
      <vt:lpstr>Planning</vt:lpstr>
      <vt:lpstr>Tracking</vt:lpstr>
      <vt:lpstr>Desired</vt:lpstr>
      <vt:lpstr>Submission</vt:lpstr>
      <vt:lpstr>Instructor Course Information</vt:lpstr>
      <vt:lpstr>Instructor Calculations</vt:lpstr>
      <vt:lpstr>Reordered 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2019-12-01T20:49:36Z</dcterms:modified>
</cp:coreProperties>
</file>